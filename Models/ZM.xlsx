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a87f973740ffce/Documents/Personal/Finance/Models/"/>
    </mc:Choice>
  </mc:AlternateContent>
  <xr:revisionPtr revIDLastSave="308" documentId="8_{7D361729-40BF-2C4C-B313-04192437ED6A}" xr6:coauthVersionLast="47" xr6:coauthVersionMax="47" xr10:uidLastSave="{7BD5A01C-EFBD-0C45-880D-16925ADAF838}"/>
  <bookViews>
    <workbookView xWindow="0" yWindow="680" windowWidth="30240" windowHeight="17860" activeTab="1" xr2:uid="{745EF473-323D-6949-BC6F-C85E4F4A57DF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3" i="2" l="1"/>
  <c r="V23" i="2"/>
  <c r="V24" i="2"/>
  <c r="W24" i="2"/>
  <c r="W25" i="2"/>
  <c r="V25" i="2"/>
  <c r="H24" i="2" l="1"/>
  <c r="I24" i="2"/>
  <c r="G24" i="2"/>
  <c r="H23" i="2"/>
  <c r="I23" i="2"/>
  <c r="K23" i="2"/>
  <c r="L23" i="2"/>
  <c r="M23" i="2"/>
  <c r="O23" i="2"/>
  <c r="P23" i="2"/>
  <c r="Q23" i="2"/>
  <c r="G23" i="2"/>
  <c r="J16" i="2"/>
  <c r="V16" i="2" s="1"/>
  <c r="J14" i="2"/>
  <c r="V14" i="2" s="1"/>
  <c r="J13" i="2"/>
  <c r="V13" i="2" s="1"/>
  <c r="J12" i="2"/>
  <c r="V12" i="2" s="1"/>
  <c r="J9" i="2"/>
  <c r="V9" i="2" s="1"/>
  <c r="J8" i="2"/>
  <c r="V8" i="2" s="1"/>
  <c r="J7" i="2"/>
  <c r="V7" i="2" s="1"/>
  <c r="J4" i="2"/>
  <c r="V4" i="2" s="1"/>
  <c r="J3" i="2"/>
  <c r="V3" i="2" s="1"/>
  <c r="F16" i="2"/>
  <c r="U16" i="2" s="1"/>
  <c r="F14" i="2"/>
  <c r="U14" i="2" s="1"/>
  <c r="F13" i="2"/>
  <c r="U13" i="2" s="1"/>
  <c r="F12" i="2"/>
  <c r="U12" i="2" s="1"/>
  <c r="F9" i="2"/>
  <c r="U9" i="2" s="1"/>
  <c r="F8" i="2"/>
  <c r="U8" i="2" s="1"/>
  <c r="F7" i="2"/>
  <c r="U7" i="2" s="1"/>
  <c r="F4" i="2"/>
  <c r="U4" i="2" s="1"/>
  <c r="F3" i="2"/>
  <c r="U3" i="2" s="1"/>
  <c r="I20" i="2"/>
  <c r="I17" i="2"/>
  <c r="I21" i="2" s="1"/>
  <c r="I10" i="2"/>
  <c r="I5" i="2"/>
  <c r="I19" i="2" s="1"/>
  <c r="E20" i="2"/>
  <c r="E15" i="2"/>
  <c r="E17" i="2" s="1"/>
  <c r="E21" i="2" s="1"/>
  <c r="E10" i="2"/>
  <c r="E5" i="2"/>
  <c r="E19" i="2" s="1"/>
  <c r="H20" i="2"/>
  <c r="H15" i="2"/>
  <c r="H17" i="2" s="1"/>
  <c r="H21" i="2" s="1"/>
  <c r="H10" i="2"/>
  <c r="H5" i="2"/>
  <c r="H19" i="2" s="1"/>
  <c r="D20" i="2"/>
  <c r="D15" i="2"/>
  <c r="D17" i="2" s="1"/>
  <c r="D21" i="2" s="1"/>
  <c r="D10" i="2"/>
  <c r="D5" i="2"/>
  <c r="D19" i="2" s="1"/>
  <c r="G10" i="2"/>
  <c r="G5" i="2"/>
  <c r="C10" i="2"/>
  <c r="C5" i="2"/>
  <c r="N16" i="2"/>
  <c r="W16" i="2" s="1"/>
  <c r="N14" i="2"/>
  <c r="W14" i="2" s="1"/>
  <c r="N13" i="2"/>
  <c r="W13" i="2" s="1"/>
  <c r="N9" i="2"/>
  <c r="W9" i="2" s="1"/>
  <c r="N8" i="2"/>
  <c r="W8" i="2" s="1"/>
  <c r="N7" i="2"/>
  <c r="W7" i="2" s="1"/>
  <c r="N4" i="2"/>
  <c r="W4" i="2" s="1"/>
  <c r="N3" i="2"/>
  <c r="N23" i="2" s="1"/>
  <c r="Q10" i="2"/>
  <c r="Q5" i="2"/>
  <c r="Q19" i="2" s="1"/>
  <c r="P5" i="2"/>
  <c r="P10" i="2"/>
  <c r="M10" i="2"/>
  <c r="L10" i="2"/>
  <c r="M5" i="2"/>
  <c r="M19" i="2" s="1"/>
  <c r="L5" i="2"/>
  <c r="L19" i="2" s="1"/>
  <c r="K10" i="2"/>
  <c r="O10" i="2"/>
  <c r="O5" i="2"/>
  <c r="O19" i="2" s="1"/>
  <c r="K5" i="2"/>
  <c r="K19" i="2" s="1"/>
  <c r="H6" i="1"/>
  <c r="H10" i="1" s="1"/>
  <c r="J24" i="2" l="1"/>
  <c r="I25" i="2"/>
  <c r="J23" i="2"/>
  <c r="H25" i="2"/>
  <c r="F10" i="2"/>
  <c r="U10" i="2" s="1"/>
  <c r="U20" i="2"/>
  <c r="F15" i="2"/>
  <c r="F17" i="2" s="1"/>
  <c r="F21" i="2" s="1"/>
  <c r="V20" i="2"/>
  <c r="J15" i="2"/>
  <c r="J17" i="2" s="1"/>
  <c r="J25" i="2" s="1"/>
  <c r="J10" i="2"/>
  <c r="V10" i="2" s="1"/>
  <c r="F5" i="2"/>
  <c r="F20" i="2"/>
  <c r="C15" i="2"/>
  <c r="G15" i="2"/>
  <c r="G20" i="2"/>
  <c r="G19" i="2"/>
  <c r="C19" i="2"/>
  <c r="N5" i="2"/>
  <c r="P12" i="2"/>
  <c r="P19" i="2"/>
  <c r="W3" i="2"/>
  <c r="L12" i="2"/>
  <c r="L24" i="2" s="1"/>
  <c r="M12" i="2"/>
  <c r="M24" i="2" s="1"/>
  <c r="K12" i="2"/>
  <c r="K24" i="2" s="1"/>
  <c r="N10" i="2"/>
  <c r="W10" i="2" s="1"/>
  <c r="Q12" i="2"/>
  <c r="Q24" i="2" s="1"/>
  <c r="O12" i="2"/>
  <c r="O24" i="2" s="1"/>
  <c r="H5" i="1"/>
  <c r="P24" i="2" l="1"/>
  <c r="P15" i="2"/>
  <c r="P17" i="2" s="1"/>
  <c r="N19" i="2"/>
  <c r="W5" i="2"/>
  <c r="W19" i="2" s="1"/>
  <c r="P20" i="2"/>
  <c r="P21" i="2"/>
  <c r="N12" i="2"/>
  <c r="N24" i="2" s="1"/>
  <c r="G17" i="2"/>
  <c r="V15" i="2"/>
  <c r="C17" i="2"/>
  <c r="U15" i="2"/>
  <c r="F19" i="2"/>
  <c r="U5" i="2"/>
  <c r="U19" i="2" s="1"/>
  <c r="C20" i="2"/>
  <c r="O15" i="2"/>
  <c r="O17" i="2" s="1"/>
  <c r="O20" i="2"/>
  <c r="Q15" i="2"/>
  <c r="Q17" i="2" s="1"/>
  <c r="Q20" i="2"/>
  <c r="K15" i="2"/>
  <c r="K20" i="2"/>
  <c r="M20" i="2"/>
  <c r="M15" i="2"/>
  <c r="M17" i="2" s="1"/>
  <c r="M25" i="2" s="1"/>
  <c r="L15" i="2"/>
  <c r="L17" i="2" s="1"/>
  <c r="L25" i="2" s="1"/>
  <c r="L20" i="2"/>
  <c r="H8" i="1"/>
  <c r="N20" i="2" l="1"/>
  <c r="G25" i="2"/>
  <c r="Q25" i="2"/>
  <c r="P25" i="2"/>
  <c r="N15" i="2"/>
  <c r="N17" i="2" s="1"/>
  <c r="N25" i="2" s="1"/>
  <c r="W12" i="2"/>
  <c r="L21" i="2"/>
  <c r="O21" i="2"/>
  <c r="M21" i="2"/>
  <c r="C21" i="2"/>
  <c r="U17" i="2"/>
  <c r="U21" i="2" s="1"/>
  <c r="G21" i="2"/>
  <c r="V17" i="2"/>
  <c r="Q21" i="2"/>
  <c r="K17" i="2"/>
  <c r="K25" i="2" s="1"/>
  <c r="W15" i="2"/>
  <c r="O25" i="2" l="1"/>
  <c r="N21" i="2"/>
  <c r="W20" i="2"/>
  <c r="V21" i="2"/>
  <c r="K21" i="2"/>
  <c r="W17" i="2"/>
  <c r="W21" i="2" l="1"/>
  <c r="H12" i="1"/>
  <c r="H14" i="1" l="1"/>
  <c r="H13" i="1"/>
  <c r="J21" i="2"/>
  <c r="J20" i="2"/>
  <c r="J5" i="2"/>
  <c r="J19" i="2" l="1"/>
  <c r="V5" i="2"/>
  <c r="V19" i="2" s="1"/>
</calcChain>
</file>

<file path=xl/sharedStrings.xml><?xml version="1.0" encoding="utf-8"?>
<sst xmlns="http://schemas.openxmlformats.org/spreadsheetml/2006/main" count="66" uniqueCount="63">
  <si>
    <t>Cash</t>
  </si>
  <si>
    <t xml:space="preserve">Debt </t>
  </si>
  <si>
    <t>Price</t>
  </si>
  <si>
    <t>Shares</t>
  </si>
  <si>
    <t>MC</t>
  </si>
  <si>
    <t>EV</t>
  </si>
  <si>
    <t>Q126</t>
  </si>
  <si>
    <t>* in millions</t>
  </si>
  <si>
    <t>ZOOM COMMUNICATIONS, INC.</t>
  </si>
  <si>
    <t>NASDAQ: ZM</t>
  </si>
  <si>
    <t>Employees: 7,420</t>
  </si>
  <si>
    <t xml:space="preserve">IPO: 2019 </t>
  </si>
  <si>
    <t>Listing price: $36</t>
  </si>
  <si>
    <t xml:space="preserve">Initial Valuation: $10B </t>
  </si>
  <si>
    <t>Net cash</t>
  </si>
  <si>
    <t>EV/E</t>
  </si>
  <si>
    <t>P/E</t>
  </si>
  <si>
    <t xml:space="preserve">Net income </t>
  </si>
  <si>
    <t>Q125</t>
  </si>
  <si>
    <t>Q325</t>
  </si>
  <si>
    <t>Q1-4/24</t>
  </si>
  <si>
    <t>Net income</t>
  </si>
  <si>
    <t xml:space="preserve">(strong net cash position) </t>
  </si>
  <si>
    <t>AI-first work platform for human connection</t>
  </si>
  <si>
    <t xml:space="preserve">Product line: </t>
  </si>
  <si>
    <t>Zoom Meetings</t>
  </si>
  <si>
    <t>Zoom Phone</t>
  </si>
  <si>
    <t>Zoom Team Chat</t>
  </si>
  <si>
    <t>Zoom Docs</t>
  </si>
  <si>
    <t xml:space="preserve">Revenue </t>
  </si>
  <si>
    <t>Main</t>
  </si>
  <si>
    <t>Q225</t>
  </si>
  <si>
    <t>Q425</t>
  </si>
  <si>
    <t>Q124</t>
  </si>
  <si>
    <t>Q224</t>
  </si>
  <si>
    <t>Q324</t>
  </si>
  <si>
    <t>Q424</t>
  </si>
  <si>
    <t xml:space="preserve">Cost of revenue </t>
  </si>
  <si>
    <t xml:space="preserve">Gross Profit </t>
  </si>
  <si>
    <t xml:space="preserve">Operating expenses </t>
  </si>
  <si>
    <t>R&amp;D</t>
  </si>
  <si>
    <t xml:space="preserve">S&amp;M </t>
  </si>
  <si>
    <t>G&amp;A</t>
  </si>
  <si>
    <t xml:space="preserve">Operating income </t>
  </si>
  <si>
    <t xml:space="preserve">Other income </t>
  </si>
  <si>
    <t xml:space="preserve">Pretax income </t>
  </si>
  <si>
    <t>Taxes</t>
  </si>
  <si>
    <t>*in thousands</t>
  </si>
  <si>
    <t>Strg. Investments income</t>
  </si>
  <si>
    <t>Gross Margin</t>
  </si>
  <si>
    <t>Profit Margin</t>
  </si>
  <si>
    <t>Operating Margin</t>
  </si>
  <si>
    <t>Q123</t>
  </si>
  <si>
    <t>Q223</t>
  </si>
  <si>
    <t>Q323</t>
  </si>
  <si>
    <t>Q423</t>
  </si>
  <si>
    <t>Q222</t>
  </si>
  <si>
    <t>Q322</t>
  </si>
  <si>
    <t>Q422</t>
  </si>
  <si>
    <t>Q122</t>
  </si>
  <si>
    <t>Revenue Growth y/y</t>
  </si>
  <si>
    <t>Net Profit Growth y/y</t>
  </si>
  <si>
    <t>EBIT Growth y/y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</si>
</sst>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theme="1"/>
      <name val="ArialMT"/>
      <family val="2"/>
    </font>
    <font>
      <i/>
      <sz val="10"/>
      <color theme="1"/>
      <name val="ArialMT"/>
    </font>
    <font>
      <u/>
      <sz val="10"/>
      <color theme="10"/>
      <name val="ArialMT"/>
      <family val="2"/>
    </font>
    <font>
      <sz val="10"/>
      <color rgb="FF000000"/>
      <name val="ArialMT"/>
      <family val="2"/>
    </font>
    <font>
      <sz val="10"/>
      <color theme="1"/>
      <name val="ArialMT"/>
    </font>
    <font>
      <b/>
      <sz val="10"/>
      <color theme="1"/>
      <name val="ArialMT"/>
    </font>
    <font>
      <sz val="8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2" fontId="0" fillId="0" borderId="0" xfId="0" applyNumberFormat="1"/>
    <xf numFmtId="4" fontId="0" fillId="0" borderId="0" xfId="0" applyNumberFormat="1"/>
    <xf numFmtId="3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1"/>
    <xf numFmtId="3" fontId="4" fillId="0" borderId="0" xfId="0" applyNumberFormat="1" applyFont="1"/>
    <xf numFmtId="10" fontId="0" fillId="0" borderId="0" xfId="0" applyNumberFormat="1"/>
    <xf numFmtId="3" fontId="5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826364</xdr:colOff>
      <xdr:row>0</xdr:row>
      <xdr:rowOff>13018</xdr:rowOff>
    </xdr:from>
    <xdr:to>
      <xdr:col>10</xdr:col>
      <xdr:colOff>24672</xdr:colOff>
      <xdr:row>46</xdr:row>
      <xdr:rowOff>80752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7425558-4155-4746-CE58-326DEA0A73FC}"/>
            </a:ext>
          </a:extLst>
        </xdr:cNvPr>
        <xdr:cNvCxnSpPr/>
      </xdr:nvCxnSpPr>
      <xdr:spPr>
        <a:xfrm>
          <a:off x="8607231" y="13018"/>
          <a:ext cx="28041" cy="785706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0</xdr:row>
      <xdr:rowOff>8466</xdr:rowOff>
    </xdr:from>
    <xdr:to>
      <xdr:col>6</xdr:col>
      <xdr:colOff>33867</xdr:colOff>
      <xdr:row>46</xdr:row>
      <xdr:rowOff>76200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F160A61B-7D1D-6C48-B3B4-427C7B2943AF}"/>
            </a:ext>
          </a:extLst>
        </xdr:cNvPr>
        <xdr:cNvCxnSpPr/>
      </xdr:nvCxnSpPr>
      <xdr:spPr>
        <a:xfrm>
          <a:off x="5291667" y="8466"/>
          <a:ext cx="33867" cy="785706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821267</xdr:colOff>
      <xdr:row>0</xdr:row>
      <xdr:rowOff>0</xdr:rowOff>
    </xdr:from>
    <xdr:to>
      <xdr:col>14</xdr:col>
      <xdr:colOff>25401</xdr:colOff>
      <xdr:row>46</xdr:row>
      <xdr:rowOff>67734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5B0C670E-A504-E141-AEE6-32AC6EDD91B2}"/>
            </a:ext>
          </a:extLst>
        </xdr:cNvPr>
        <xdr:cNvCxnSpPr/>
      </xdr:nvCxnSpPr>
      <xdr:spPr>
        <a:xfrm>
          <a:off x="11921067" y="0"/>
          <a:ext cx="33867" cy="785706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8468</xdr:colOff>
      <xdr:row>0</xdr:row>
      <xdr:rowOff>8467</xdr:rowOff>
    </xdr:from>
    <xdr:to>
      <xdr:col>23</xdr:col>
      <xdr:colOff>42335</xdr:colOff>
      <xdr:row>46</xdr:row>
      <xdr:rowOff>76201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E1C7562F-A29F-AC47-BC58-310176BA5129}"/>
            </a:ext>
          </a:extLst>
        </xdr:cNvPr>
        <xdr:cNvCxnSpPr/>
      </xdr:nvCxnSpPr>
      <xdr:spPr>
        <a:xfrm>
          <a:off x="19405601" y="8467"/>
          <a:ext cx="33867" cy="785706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8C9E1-B2B3-DA41-BCEA-5618431C23EF}">
  <dimension ref="B1:K17"/>
  <sheetViews>
    <sheetView zoomScale="150" workbookViewId="0">
      <selection activeCell="G19" sqref="G19"/>
    </sheetView>
  </sheetViews>
  <sheetFormatPr baseColWidth="10" defaultRowHeight="13"/>
  <cols>
    <col min="2" max="2" width="34.6640625" bestFit="1" customWidth="1"/>
    <col min="11" max="11" width="10.83203125" style="3" customWidth="1"/>
  </cols>
  <sheetData>
    <row r="1" spans="2:11">
      <c r="K1"/>
    </row>
    <row r="2" spans="2:11">
      <c r="G2" s="4" t="s">
        <v>7</v>
      </c>
    </row>
    <row r="3" spans="2:11">
      <c r="B3" t="s">
        <v>8</v>
      </c>
      <c r="G3" t="s">
        <v>2</v>
      </c>
      <c r="H3" s="2">
        <v>95.46</v>
      </c>
      <c r="I3" t="s">
        <v>6</v>
      </c>
    </row>
    <row r="4" spans="2:11">
      <c r="B4" t="s">
        <v>9</v>
      </c>
      <c r="G4" t="s">
        <v>3</v>
      </c>
      <c r="H4" s="3">
        <v>265</v>
      </c>
      <c r="I4" t="s">
        <v>6</v>
      </c>
    </row>
    <row r="5" spans="2:11">
      <c r="B5" t="s">
        <v>10</v>
      </c>
      <c r="G5" t="s">
        <v>4</v>
      </c>
      <c r="H5" s="3">
        <f>H3*H4</f>
        <v>25296.899999999998</v>
      </c>
    </row>
    <row r="6" spans="2:11">
      <c r="G6" t="s">
        <v>0</v>
      </c>
      <c r="H6" s="3">
        <f>1215+6727</f>
        <v>7942</v>
      </c>
      <c r="I6" s="5" t="s">
        <v>19</v>
      </c>
    </row>
    <row r="7" spans="2:11">
      <c r="B7" t="s">
        <v>11</v>
      </c>
      <c r="G7" t="s">
        <v>1</v>
      </c>
      <c r="H7" s="3">
        <v>103</v>
      </c>
      <c r="I7" s="5" t="s">
        <v>19</v>
      </c>
    </row>
    <row r="8" spans="2:11">
      <c r="B8" t="s">
        <v>12</v>
      </c>
      <c r="G8" t="s">
        <v>5</v>
      </c>
      <c r="H8" s="3">
        <f>H5+H7-H6</f>
        <v>17457.899999999998</v>
      </c>
    </row>
    <row r="9" spans="2:11">
      <c r="B9" t="s">
        <v>13</v>
      </c>
    </row>
    <row r="10" spans="2:11">
      <c r="G10" t="s">
        <v>14</v>
      </c>
      <c r="H10" s="3">
        <f>H6-H7</f>
        <v>7839</v>
      </c>
      <c r="I10" s="4" t="s">
        <v>22</v>
      </c>
    </row>
    <row r="11" spans="2:11">
      <c r="B11" t="s">
        <v>23</v>
      </c>
      <c r="H11" s="3"/>
      <c r="I11" s="4"/>
    </row>
    <row r="12" spans="2:11">
      <c r="G12" t="s">
        <v>21</v>
      </c>
      <c r="H12" s="3">
        <f>Model!W17</f>
        <v>1010238</v>
      </c>
      <c r="I12" s="6" t="s">
        <v>20</v>
      </c>
    </row>
    <row r="13" spans="2:11">
      <c r="B13" s="7" t="s">
        <v>24</v>
      </c>
      <c r="G13" t="s">
        <v>16</v>
      </c>
      <c r="H13" s="1">
        <f>H5*1000/H12</f>
        <v>25.040535002642937</v>
      </c>
    </row>
    <row r="14" spans="2:11">
      <c r="B14" t="s">
        <v>25</v>
      </c>
      <c r="G14" t="s">
        <v>15</v>
      </c>
      <c r="H14" s="1">
        <f>H8*1000/H12</f>
        <v>17.280977353851267</v>
      </c>
    </row>
    <row r="15" spans="2:11">
      <c r="B15" t="s">
        <v>26</v>
      </c>
    </row>
    <row r="16" spans="2:11">
      <c r="B16" t="s">
        <v>27</v>
      </c>
    </row>
    <row r="17" spans="2:2">
      <c r="B17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299D0-EB66-1046-89BA-CBCF924E7002}">
  <dimension ref="A1:W26"/>
  <sheetViews>
    <sheetView tabSelected="1" zoomScale="125" zoomScaleNormal="15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L38" sqref="L38"/>
    </sheetView>
  </sheetViews>
  <sheetFormatPr baseColWidth="10" defaultRowHeight="13"/>
  <cols>
    <col min="1" max="1" width="4.83203125" bestFit="1" customWidth="1"/>
    <col min="2" max="2" width="21" customWidth="1"/>
    <col min="11" max="16384" width="10.83203125" style="3"/>
  </cols>
  <sheetData>
    <row r="1" spans="1:23" customFormat="1">
      <c r="A1" s="8" t="s">
        <v>30</v>
      </c>
      <c r="B1" s="4" t="s">
        <v>47</v>
      </c>
    </row>
    <row r="2" spans="1:23" customFormat="1">
      <c r="C2" t="s">
        <v>59</v>
      </c>
      <c r="D2" t="s">
        <v>56</v>
      </c>
      <c r="E2" t="s">
        <v>57</v>
      </c>
      <c r="F2" t="s">
        <v>58</v>
      </c>
      <c r="G2" t="s">
        <v>52</v>
      </c>
      <c r="H2" t="s">
        <v>53</v>
      </c>
      <c r="I2" t="s">
        <v>54</v>
      </c>
      <c r="J2" t="s">
        <v>55</v>
      </c>
      <c r="K2" t="s">
        <v>33</v>
      </c>
      <c r="L2" t="s">
        <v>34</v>
      </c>
      <c r="M2" t="s">
        <v>35</v>
      </c>
      <c r="N2" t="s">
        <v>36</v>
      </c>
      <c r="O2" t="s">
        <v>18</v>
      </c>
      <c r="P2" t="s">
        <v>31</v>
      </c>
      <c r="Q2" t="s">
        <v>19</v>
      </c>
      <c r="R2" t="s">
        <v>32</v>
      </c>
      <c r="U2">
        <v>2022</v>
      </c>
      <c r="V2">
        <v>2023</v>
      </c>
      <c r="W2">
        <v>2024</v>
      </c>
    </row>
    <row r="3" spans="1:23">
      <c r="B3" t="s">
        <v>29</v>
      </c>
      <c r="C3" s="3">
        <v>1073800</v>
      </c>
      <c r="D3" s="3">
        <v>1099458</v>
      </c>
      <c r="E3" s="3">
        <v>1101899</v>
      </c>
      <c r="F3" s="3">
        <f>4099864-SUM(C3:E3)</f>
        <v>824707</v>
      </c>
      <c r="G3" s="3">
        <v>1105364</v>
      </c>
      <c r="H3" s="3">
        <v>1138676</v>
      </c>
      <c r="I3" s="3">
        <v>1136727</v>
      </c>
      <c r="J3" s="3">
        <f>4392960-SUM(G3:I3)</f>
        <v>1012193</v>
      </c>
      <c r="K3" s="3">
        <v>1141234</v>
      </c>
      <c r="L3" s="3">
        <v>1162520</v>
      </c>
      <c r="M3" s="3">
        <v>1177541</v>
      </c>
      <c r="N3" s="3">
        <f>4665433-SUM(K3:M3)</f>
        <v>1184138</v>
      </c>
      <c r="O3" s="3">
        <v>1174715</v>
      </c>
      <c r="P3" s="3">
        <v>1217227</v>
      </c>
      <c r="Q3" s="3">
        <v>1229835</v>
      </c>
      <c r="U3" s="3">
        <f>SUM(C3:F3)</f>
        <v>4099864</v>
      </c>
      <c r="V3" s="3">
        <f>SUM(G3:J3)</f>
        <v>4392960</v>
      </c>
      <c r="W3" s="3">
        <f>SUM(K3:N3)</f>
        <v>4665433</v>
      </c>
    </row>
    <row r="4" spans="1:23">
      <c r="B4" t="s">
        <v>37</v>
      </c>
      <c r="C4" s="3">
        <v>261821</v>
      </c>
      <c r="D4" s="3">
        <v>273611</v>
      </c>
      <c r="E4" s="3">
        <v>270665</v>
      </c>
      <c r="F4" s="3">
        <f>1054554-SUM(C4:E4)</f>
        <v>248457</v>
      </c>
      <c r="G4" s="3">
        <v>263947</v>
      </c>
      <c r="H4" s="3">
        <v>266559</v>
      </c>
      <c r="I4" s="3">
        <v>270988</v>
      </c>
      <c r="J4" s="3">
        <f>1100451-SUM(G4:I4)</f>
        <v>298957</v>
      </c>
      <c r="K4" s="3">
        <v>273302</v>
      </c>
      <c r="L4" s="3">
        <v>285089</v>
      </c>
      <c r="M4" s="3">
        <v>283881</v>
      </c>
      <c r="N4" s="3">
        <f>1129627-SUM(K4:M4)</f>
        <v>287355</v>
      </c>
      <c r="O4" s="3">
        <v>278402</v>
      </c>
      <c r="P4" s="3">
        <v>273165</v>
      </c>
      <c r="Q4" s="3">
        <v>271770</v>
      </c>
      <c r="U4" s="3">
        <f>SUM(C4:F4)</f>
        <v>1054554</v>
      </c>
      <c r="V4" s="3">
        <f>SUM(G4:J4)</f>
        <v>1100451</v>
      </c>
      <c r="W4" s="3">
        <f>SUM(K4:N4)</f>
        <v>1129627</v>
      </c>
    </row>
    <row r="5" spans="1:23">
      <c r="B5" t="s">
        <v>38</v>
      </c>
      <c r="C5" s="3">
        <f t="shared" ref="C5:K5" si="0">C3-C4</f>
        <v>811979</v>
      </c>
      <c r="D5" s="3">
        <f t="shared" si="0"/>
        <v>825847</v>
      </c>
      <c r="E5" s="3">
        <f t="shared" si="0"/>
        <v>831234</v>
      </c>
      <c r="F5" s="3">
        <f t="shared" si="0"/>
        <v>576250</v>
      </c>
      <c r="G5" s="3">
        <f t="shared" si="0"/>
        <v>841417</v>
      </c>
      <c r="H5" s="3">
        <f t="shared" si="0"/>
        <v>872117</v>
      </c>
      <c r="I5" s="3">
        <f t="shared" si="0"/>
        <v>865739</v>
      </c>
      <c r="J5" s="3">
        <f t="shared" si="0"/>
        <v>713236</v>
      </c>
      <c r="K5" s="3">
        <f t="shared" si="0"/>
        <v>867932</v>
      </c>
      <c r="L5" s="3">
        <f t="shared" ref="L5:N5" si="1">L3-L4</f>
        <v>877431</v>
      </c>
      <c r="M5" s="3">
        <f t="shared" si="1"/>
        <v>893660</v>
      </c>
      <c r="N5" s="3">
        <f t="shared" si="1"/>
        <v>896783</v>
      </c>
      <c r="O5" s="3">
        <f>O3-O4</f>
        <v>896313</v>
      </c>
      <c r="P5" s="3">
        <f>P3-P4</f>
        <v>944062</v>
      </c>
      <c r="Q5" s="3">
        <f>Q3-Q4</f>
        <v>958065</v>
      </c>
      <c r="U5" s="3">
        <f>SUM(C5:F5)</f>
        <v>3045310</v>
      </c>
      <c r="V5" s="3">
        <f>SUM(G5:J5)</f>
        <v>3292509</v>
      </c>
      <c r="W5" s="3">
        <f>SUM(K5:N5)</f>
        <v>3535806</v>
      </c>
    </row>
    <row r="6" spans="1:23">
      <c r="C6" s="3"/>
      <c r="D6" s="3"/>
      <c r="E6" s="3"/>
      <c r="F6" s="3"/>
      <c r="G6" s="3"/>
      <c r="H6" s="3"/>
      <c r="I6" s="3"/>
      <c r="J6" s="3"/>
    </row>
    <row r="7" spans="1:23">
      <c r="B7" t="s">
        <v>40</v>
      </c>
      <c r="C7" s="3">
        <v>144291</v>
      </c>
      <c r="D7" s="3">
        <v>172564</v>
      </c>
      <c r="E7" s="3">
        <v>195946</v>
      </c>
      <c r="F7" s="9">
        <f>362990-SUM(C7:E7)</f>
        <v>-149811</v>
      </c>
      <c r="G7" s="3">
        <v>209271</v>
      </c>
      <c r="H7" s="3">
        <v>191802</v>
      </c>
      <c r="I7" s="3">
        <v>196832</v>
      </c>
      <c r="J7" s="3">
        <f>774059-SUM(G7:I7)</f>
        <v>176154</v>
      </c>
      <c r="K7" s="3">
        <v>205558</v>
      </c>
      <c r="L7" s="3">
        <v>206756</v>
      </c>
      <c r="M7" s="3">
        <v>222980</v>
      </c>
      <c r="N7" s="3">
        <f>852415-SUM(K7:M7)</f>
        <v>217121</v>
      </c>
      <c r="O7" s="3">
        <v>205416</v>
      </c>
      <c r="P7" s="3">
        <v>206447</v>
      </c>
      <c r="Q7" s="3">
        <v>210097</v>
      </c>
      <c r="U7" s="3">
        <f>SUM(C7:F7)</f>
        <v>362990</v>
      </c>
      <c r="V7" s="3">
        <f>SUM(G7:J7)</f>
        <v>774059</v>
      </c>
      <c r="W7" s="3">
        <f>SUM(K7:N7)</f>
        <v>852415</v>
      </c>
    </row>
    <row r="8" spans="1:23">
      <c r="B8" t="s">
        <v>41</v>
      </c>
      <c r="C8" s="3">
        <v>362783</v>
      </c>
      <c r="D8" s="3">
        <v>400474</v>
      </c>
      <c r="E8" s="3">
        <v>427747</v>
      </c>
      <c r="F8" s="3">
        <f>1135959-SUM(C8:E8)</f>
        <v>-55045</v>
      </c>
      <c r="G8" s="3">
        <v>422504</v>
      </c>
      <c r="H8" s="3">
        <v>373373</v>
      </c>
      <c r="I8" s="3">
        <v>374378</v>
      </c>
      <c r="J8" s="3">
        <f>1696590-SUM(G8:I8)</f>
        <v>526335</v>
      </c>
      <c r="K8" s="3">
        <v>348008</v>
      </c>
      <c r="L8" s="3">
        <v>358770</v>
      </c>
      <c r="M8" s="3">
        <v>361703</v>
      </c>
      <c r="N8" s="3">
        <f>1427384-SUM(K8:M8)</f>
        <v>358903</v>
      </c>
      <c r="O8" s="3">
        <v>346970</v>
      </c>
      <c r="P8" s="3">
        <v>338995</v>
      </c>
      <c r="Q8" s="3">
        <v>342814</v>
      </c>
      <c r="U8" s="3">
        <f>SUM(C8:F8)</f>
        <v>1135959</v>
      </c>
      <c r="V8" s="3">
        <f>SUM(G8:J8)</f>
        <v>1696590</v>
      </c>
      <c r="W8" s="3">
        <f>SUM(K8:N8)</f>
        <v>1427384</v>
      </c>
    </row>
    <row r="9" spans="1:23">
      <c r="B9" t="s">
        <v>42</v>
      </c>
      <c r="C9" s="3">
        <v>117840</v>
      </c>
      <c r="D9" s="3">
        <v>131066</v>
      </c>
      <c r="E9" s="3">
        <v>141033</v>
      </c>
      <c r="F9" s="3">
        <f>482770-SUM(C9:E9)</f>
        <v>92831</v>
      </c>
      <c r="G9" s="3">
        <v>199900</v>
      </c>
      <c r="H9" s="3">
        <v>129324</v>
      </c>
      <c r="I9" s="3">
        <v>125140</v>
      </c>
      <c r="J9" s="3">
        <f>576431-SUM(G9:I9)</f>
        <v>122067</v>
      </c>
      <c r="K9" s="3">
        <v>111344</v>
      </c>
      <c r="L9" s="3">
        <v>109535</v>
      </c>
      <c r="M9" s="3">
        <v>126137</v>
      </c>
      <c r="N9" s="3">
        <f>442712-SUM(K9:M9)</f>
        <v>95696</v>
      </c>
      <c r="O9" s="3">
        <v>102335</v>
      </c>
      <c r="P9" s="3">
        <v>76885</v>
      </c>
      <c r="Q9" s="3">
        <v>94740</v>
      </c>
      <c r="U9" s="3">
        <f>SUM(C9:F9)</f>
        <v>482770</v>
      </c>
      <c r="V9" s="3">
        <f>SUM(G9:J9)</f>
        <v>576431</v>
      </c>
      <c r="W9" s="3">
        <f>SUM(K9:N9)</f>
        <v>442712</v>
      </c>
    </row>
    <row r="10" spans="1:23">
      <c r="B10" t="s">
        <v>39</v>
      </c>
      <c r="C10" s="3">
        <f t="shared" ref="C10:Q10" si="2">C7+C8+C9</f>
        <v>624914</v>
      </c>
      <c r="D10" s="3">
        <f t="shared" si="2"/>
        <v>704104</v>
      </c>
      <c r="E10" s="3">
        <f t="shared" si="2"/>
        <v>764726</v>
      </c>
      <c r="F10" s="3">
        <f t="shared" si="2"/>
        <v>-112025</v>
      </c>
      <c r="G10" s="3">
        <f t="shared" si="2"/>
        <v>831675</v>
      </c>
      <c r="H10" s="3">
        <f t="shared" si="2"/>
        <v>694499</v>
      </c>
      <c r="I10" s="3">
        <f t="shared" si="2"/>
        <v>696350</v>
      </c>
      <c r="J10" s="3">
        <f t="shared" si="2"/>
        <v>824556</v>
      </c>
      <c r="K10" s="3">
        <f t="shared" si="2"/>
        <v>664910</v>
      </c>
      <c r="L10" s="3">
        <f t="shared" si="2"/>
        <v>675061</v>
      </c>
      <c r="M10" s="3">
        <f t="shared" si="2"/>
        <v>710820</v>
      </c>
      <c r="N10" s="3">
        <f t="shared" si="2"/>
        <v>671720</v>
      </c>
      <c r="O10" s="3">
        <f t="shared" si="2"/>
        <v>654721</v>
      </c>
      <c r="P10" s="3">
        <f t="shared" si="2"/>
        <v>622327</v>
      </c>
      <c r="Q10" s="3">
        <f t="shared" si="2"/>
        <v>647651</v>
      </c>
      <c r="U10" s="3">
        <f>SUM(C10:F10)</f>
        <v>1981719</v>
      </c>
      <c r="V10" s="3">
        <f>SUM(G10:J10)</f>
        <v>3047080</v>
      </c>
      <c r="W10" s="3">
        <f>SUM(K10:N10)</f>
        <v>2722511</v>
      </c>
    </row>
    <row r="11" spans="1:23">
      <c r="C11" s="3"/>
      <c r="D11" s="3"/>
      <c r="E11" s="3"/>
      <c r="F11" s="3"/>
      <c r="G11" s="3"/>
      <c r="H11" s="3"/>
      <c r="I11" s="3"/>
      <c r="J11" s="3"/>
    </row>
    <row r="12" spans="1:23">
      <c r="B12" t="s">
        <v>43</v>
      </c>
      <c r="C12" s="3">
        <v>187065</v>
      </c>
      <c r="D12" s="3">
        <v>121743</v>
      </c>
      <c r="E12" s="3">
        <v>66508</v>
      </c>
      <c r="F12" s="3">
        <f>1063591-SUM(C12:E12)</f>
        <v>688275</v>
      </c>
      <c r="G12" s="3">
        <v>9742</v>
      </c>
      <c r="H12" s="3">
        <v>177618</v>
      </c>
      <c r="I12" s="3">
        <v>169389</v>
      </c>
      <c r="J12" s="3">
        <f>245429-SUM(G12:I12)</f>
        <v>-111320</v>
      </c>
      <c r="K12" s="3">
        <f t="shared" ref="K12:Q12" si="3">K5-K10</f>
        <v>203022</v>
      </c>
      <c r="L12" s="3">
        <f t="shared" si="3"/>
        <v>202370</v>
      </c>
      <c r="M12" s="3">
        <f t="shared" si="3"/>
        <v>182840</v>
      </c>
      <c r="N12" s="3">
        <f t="shared" si="3"/>
        <v>225063</v>
      </c>
      <c r="O12" s="3">
        <f t="shared" si="3"/>
        <v>241592</v>
      </c>
      <c r="P12" s="3">
        <f t="shared" si="3"/>
        <v>321735</v>
      </c>
      <c r="Q12" s="3">
        <f t="shared" si="3"/>
        <v>310414</v>
      </c>
      <c r="U12" s="3">
        <f t="shared" ref="U12:U17" si="4">SUM(C12:F12)</f>
        <v>1063591</v>
      </c>
      <c r="V12" s="3">
        <f t="shared" ref="V12:V17" si="5">SUM(G12:J12)</f>
        <v>245429</v>
      </c>
      <c r="W12" s="3">
        <f t="shared" ref="W12:W17" si="6">SUM(K12:N12)</f>
        <v>813295</v>
      </c>
    </row>
    <row r="13" spans="1:23">
      <c r="B13" t="s">
        <v>48</v>
      </c>
      <c r="C13" s="3">
        <v>-36404</v>
      </c>
      <c r="D13" s="3">
        <v>-34712</v>
      </c>
      <c r="E13" s="3">
        <v>-6898</v>
      </c>
      <c r="F13" s="3">
        <f>43761-SUM(C13:E13)</f>
        <v>121775</v>
      </c>
      <c r="G13" s="3">
        <v>2275</v>
      </c>
      <c r="H13" s="3">
        <v>31670</v>
      </c>
      <c r="I13" s="3">
        <v>-25471</v>
      </c>
      <c r="J13" s="3">
        <f>-37571-SUM(G13:I13)</f>
        <v>-46045</v>
      </c>
      <c r="K13" s="3">
        <v>17354</v>
      </c>
      <c r="L13" s="3">
        <v>3107</v>
      </c>
      <c r="M13" s="3">
        <v>6324</v>
      </c>
      <c r="N13" s="3">
        <f>177142-SUM(K13:M13)</f>
        <v>150357</v>
      </c>
      <c r="O13" s="3">
        <v>-13619</v>
      </c>
      <c r="P13" s="3">
        <v>45056</v>
      </c>
      <c r="Q13" s="3">
        <v>406060</v>
      </c>
      <c r="U13" s="3">
        <f t="shared" si="4"/>
        <v>43761</v>
      </c>
      <c r="V13" s="3">
        <f t="shared" si="5"/>
        <v>-37571</v>
      </c>
      <c r="W13" s="3">
        <f t="shared" si="6"/>
        <v>177142</v>
      </c>
    </row>
    <row r="14" spans="1:23">
      <c r="B14" t="s">
        <v>44</v>
      </c>
      <c r="C14" s="9">
        <v>-6989</v>
      </c>
      <c r="D14" s="9">
        <v>3368</v>
      </c>
      <c r="E14" s="9">
        <v>-4861</v>
      </c>
      <c r="F14" s="9">
        <f>-5720-SUM(C14:E14)</f>
        <v>2762</v>
      </c>
      <c r="G14" s="9">
        <v>31213</v>
      </c>
      <c r="H14" s="9">
        <v>41085</v>
      </c>
      <c r="I14" s="9">
        <v>41908</v>
      </c>
      <c r="J14" s="9">
        <f>41418-SUM(G14:I14)</f>
        <v>-72788</v>
      </c>
      <c r="K14" s="9">
        <v>71588</v>
      </c>
      <c r="L14" s="9">
        <v>87412</v>
      </c>
      <c r="M14" s="9">
        <v>91248</v>
      </c>
      <c r="N14" s="9">
        <f>325147-SUM(K14:M14)</f>
        <v>74899</v>
      </c>
      <c r="O14" s="9">
        <v>87792</v>
      </c>
      <c r="P14" s="9">
        <v>81371</v>
      </c>
      <c r="Q14" s="9">
        <v>78235</v>
      </c>
      <c r="U14" s="3">
        <f t="shared" si="4"/>
        <v>-5720</v>
      </c>
      <c r="V14" s="3">
        <f t="shared" si="5"/>
        <v>41418</v>
      </c>
      <c r="W14" s="3">
        <f t="shared" si="6"/>
        <v>325147</v>
      </c>
    </row>
    <row r="15" spans="1:23">
      <c r="B15" t="s">
        <v>45</v>
      </c>
      <c r="C15" s="3">
        <f t="shared" ref="C15:H15" si="7">C12+C13+C14</f>
        <v>143672</v>
      </c>
      <c r="D15" s="3">
        <f t="shared" si="7"/>
        <v>90399</v>
      </c>
      <c r="E15" s="3">
        <f t="shared" si="7"/>
        <v>54749</v>
      </c>
      <c r="F15" s="3">
        <f t="shared" si="7"/>
        <v>812812</v>
      </c>
      <c r="G15" s="3">
        <f t="shared" si="7"/>
        <v>43230</v>
      </c>
      <c r="H15" s="3">
        <f t="shared" si="7"/>
        <v>250373</v>
      </c>
      <c r="I15" s="3">
        <v>185826</v>
      </c>
      <c r="J15" s="3">
        <f t="shared" ref="J15:Q15" si="8">J12+J13+J14</f>
        <v>-230153</v>
      </c>
      <c r="K15" s="3">
        <f t="shared" si="8"/>
        <v>291964</v>
      </c>
      <c r="L15" s="3">
        <f t="shared" si="8"/>
        <v>292889</v>
      </c>
      <c r="M15" s="3">
        <f t="shared" si="8"/>
        <v>280412</v>
      </c>
      <c r="N15" s="3">
        <f t="shared" si="8"/>
        <v>450319</v>
      </c>
      <c r="O15" s="3">
        <f t="shared" si="8"/>
        <v>315765</v>
      </c>
      <c r="P15" s="3">
        <f t="shared" si="8"/>
        <v>448162</v>
      </c>
      <c r="Q15" s="3">
        <f t="shared" si="8"/>
        <v>794709</v>
      </c>
      <c r="U15" s="3">
        <f t="shared" si="4"/>
        <v>1101632</v>
      </c>
      <c r="V15" s="3">
        <f t="shared" si="5"/>
        <v>249276</v>
      </c>
      <c r="W15" s="3">
        <f t="shared" si="6"/>
        <v>1315584</v>
      </c>
    </row>
    <row r="16" spans="1:23">
      <c r="B16" t="s">
        <v>46</v>
      </c>
      <c r="C16" s="3">
        <v>30014</v>
      </c>
      <c r="D16" s="3">
        <v>44649</v>
      </c>
      <c r="E16" s="3">
        <v>6396</v>
      </c>
      <c r="F16" s="3">
        <f>-274007-SUM(C16:E16)</f>
        <v>-355066</v>
      </c>
      <c r="G16" s="3">
        <v>27786</v>
      </c>
      <c r="H16" s="3">
        <v>68399</v>
      </c>
      <c r="I16" s="3">
        <v>44614</v>
      </c>
      <c r="J16" s="3">
        <f>145565-SUM(G16:I16)</f>
        <v>4766</v>
      </c>
      <c r="K16" s="3">
        <v>75656</v>
      </c>
      <c r="L16" s="3">
        <v>73874</v>
      </c>
      <c r="M16" s="3">
        <v>73362</v>
      </c>
      <c r="N16" s="3">
        <f>305346-SUM(K16:M16)</f>
        <v>82454</v>
      </c>
      <c r="O16" s="3">
        <v>61162</v>
      </c>
      <c r="P16" s="3">
        <v>89570</v>
      </c>
      <c r="Q16" s="3">
        <v>181836</v>
      </c>
      <c r="U16" s="3">
        <f t="shared" si="4"/>
        <v>-274007</v>
      </c>
      <c r="V16" s="3">
        <f t="shared" si="5"/>
        <v>145565</v>
      </c>
      <c r="W16" s="3">
        <f t="shared" si="6"/>
        <v>305346</v>
      </c>
    </row>
    <row r="17" spans="1:23" s="11" customFormat="1">
      <c r="A17" s="7"/>
      <c r="B17" s="7" t="s">
        <v>17</v>
      </c>
      <c r="C17" s="11">
        <f t="shared" ref="C17:Q17" si="9">C15-C16</f>
        <v>113658</v>
      </c>
      <c r="D17" s="11">
        <f t="shared" si="9"/>
        <v>45750</v>
      </c>
      <c r="E17" s="11">
        <f t="shared" si="9"/>
        <v>48353</v>
      </c>
      <c r="F17" s="11">
        <f t="shared" si="9"/>
        <v>1167878</v>
      </c>
      <c r="G17" s="11">
        <f t="shared" si="9"/>
        <v>15444</v>
      </c>
      <c r="H17" s="11">
        <f t="shared" si="9"/>
        <v>181974</v>
      </c>
      <c r="I17" s="11">
        <f t="shared" si="9"/>
        <v>141212</v>
      </c>
      <c r="J17" s="11">
        <f t="shared" si="9"/>
        <v>-234919</v>
      </c>
      <c r="K17" s="11">
        <f t="shared" si="9"/>
        <v>216308</v>
      </c>
      <c r="L17" s="11">
        <f t="shared" si="9"/>
        <v>219015</v>
      </c>
      <c r="M17" s="11">
        <f t="shared" si="9"/>
        <v>207050</v>
      </c>
      <c r="N17" s="11">
        <f t="shared" si="9"/>
        <v>367865</v>
      </c>
      <c r="O17" s="11">
        <f t="shared" si="9"/>
        <v>254603</v>
      </c>
      <c r="P17" s="11">
        <f t="shared" si="9"/>
        <v>358592</v>
      </c>
      <c r="Q17" s="11">
        <f t="shared" si="9"/>
        <v>612873</v>
      </c>
      <c r="U17" s="11">
        <f t="shared" si="4"/>
        <v>1375639</v>
      </c>
      <c r="V17" s="11">
        <f t="shared" si="5"/>
        <v>103711</v>
      </c>
      <c r="W17" s="11">
        <f t="shared" si="6"/>
        <v>1010238</v>
      </c>
    </row>
    <row r="18" spans="1:23">
      <c r="C18" s="3"/>
      <c r="D18" s="3"/>
      <c r="E18" s="3"/>
      <c r="F18" s="3"/>
      <c r="G18" s="3"/>
      <c r="H18" s="3"/>
      <c r="I18" s="3"/>
      <c r="J18" s="3"/>
    </row>
    <row r="19" spans="1:23">
      <c r="B19" t="s">
        <v>49</v>
      </c>
      <c r="C19" s="10">
        <f t="shared" ref="C19:K19" si="10">C5/C3</f>
        <v>0.75617340286831813</v>
      </c>
      <c r="D19" s="10">
        <f t="shared" si="10"/>
        <v>0.75114010721646485</v>
      </c>
      <c r="E19" s="10">
        <f t="shared" si="10"/>
        <v>0.75436496448404078</v>
      </c>
      <c r="F19" s="10">
        <f t="shared" si="10"/>
        <v>0.6987330045701079</v>
      </c>
      <c r="G19" s="10">
        <f t="shared" si="10"/>
        <v>0.76121259603171443</v>
      </c>
      <c r="H19" s="10">
        <f t="shared" si="10"/>
        <v>0.7659044363804981</v>
      </c>
      <c r="I19" s="10">
        <f t="shared" si="10"/>
        <v>0.76160678861327302</v>
      </c>
      <c r="J19" s="10">
        <f t="shared" si="10"/>
        <v>0.70464427238678784</v>
      </c>
      <c r="K19" s="10">
        <f t="shared" si="10"/>
        <v>0.76052062942393939</v>
      </c>
      <c r="L19" s="10">
        <f t="shared" ref="L19:N19" si="11">L5/L3</f>
        <v>0.75476636961084542</v>
      </c>
      <c r="M19" s="10">
        <f t="shared" si="11"/>
        <v>0.75892049618654467</v>
      </c>
      <c r="N19" s="10">
        <f t="shared" si="11"/>
        <v>0.75732980446535791</v>
      </c>
      <c r="O19" s="10">
        <f t="shared" ref="O19:Q19" si="12">O5/O3</f>
        <v>0.7630046436795308</v>
      </c>
      <c r="P19" s="10">
        <f t="shared" si="12"/>
        <v>0.77558417616434727</v>
      </c>
      <c r="Q19" s="10">
        <f t="shared" si="12"/>
        <v>0.77901913671346157</v>
      </c>
      <c r="R19" s="10"/>
      <c r="S19" s="10"/>
      <c r="T19" s="10"/>
      <c r="U19" s="10">
        <f>U5/U3</f>
        <v>0.74278317524678872</v>
      </c>
      <c r="V19" s="10">
        <f>V5/V3</f>
        <v>0.74949669471153846</v>
      </c>
      <c r="W19" s="10">
        <f>W5/W3</f>
        <v>0.75787306344341454</v>
      </c>
    </row>
    <row r="20" spans="1:23">
      <c r="B20" t="s">
        <v>51</v>
      </c>
      <c r="C20" s="10">
        <f t="shared" ref="C20:K20" si="13">C12/C3</f>
        <v>0.17420841869994413</v>
      </c>
      <c r="D20" s="10">
        <f t="shared" si="13"/>
        <v>0.11073001424338173</v>
      </c>
      <c r="E20" s="10">
        <f t="shared" si="13"/>
        <v>6.0357618983228042E-2</v>
      </c>
      <c r="F20" s="10">
        <f t="shared" si="13"/>
        <v>0.8345691257622404</v>
      </c>
      <c r="G20" s="10">
        <f t="shared" si="13"/>
        <v>8.8133863596064291E-3</v>
      </c>
      <c r="H20" s="10">
        <f t="shared" si="13"/>
        <v>0.1559864263407677</v>
      </c>
      <c r="I20" s="10">
        <f t="shared" si="13"/>
        <v>0.14901467106877905</v>
      </c>
      <c r="J20" s="10">
        <f t="shared" si="13"/>
        <v>-0.10997902573916239</v>
      </c>
      <c r="K20" s="10">
        <f t="shared" si="13"/>
        <v>0.1778969080837059</v>
      </c>
      <c r="L20" s="10">
        <f t="shared" ref="L20:N20" si="14">L12/L3</f>
        <v>0.17407872552730275</v>
      </c>
      <c r="M20" s="10">
        <f t="shared" si="14"/>
        <v>0.15527272511105769</v>
      </c>
      <c r="N20" s="10">
        <f t="shared" si="14"/>
        <v>0.19006484041555968</v>
      </c>
      <c r="O20" s="10">
        <f t="shared" ref="O20:Q20" si="15">O12/O3</f>
        <v>0.20566009627867185</v>
      </c>
      <c r="P20" s="10">
        <f t="shared" si="15"/>
        <v>0.26431799491795699</v>
      </c>
      <c r="Q20" s="10">
        <f t="shared" si="15"/>
        <v>0.2524029646253359</v>
      </c>
      <c r="R20" s="10"/>
      <c r="S20" s="10"/>
      <c r="T20" s="10"/>
      <c r="U20" s="10">
        <f>U12/U3</f>
        <v>0.25942104421024698</v>
      </c>
      <c r="V20" s="10">
        <f>V12/V3</f>
        <v>5.5868708114801865E-2</v>
      </c>
      <c r="W20" s="10">
        <f>W12/W3</f>
        <v>0.17432358368451545</v>
      </c>
    </row>
    <row r="21" spans="1:23">
      <c r="B21" t="s">
        <v>50</v>
      </c>
      <c r="C21" s="10">
        <f t="shared" ref="C21:K21" si="16">C17/C3</f>
        <v>0.10584652635500093</v>
      </c>
      <c r="D21" s="10">
        <f t="shared" si="16"/>
        <v>4.161141216854123E-2</v>
      </c>
      <c r="E21" s="10">
        <f t="shared" si="16"/>
        <v>4.3881517271546669E-2</v>
      </c>
      <c r="F21" s="10">
        <f t="shared" si="16"/>
        <v>1.4161126315164052</v>
      </c>
      <c r="G21" s="10">
        <f t="shared" si="16"/>
        <v>1.3971868090511361E-2</v>
      </c>
      <c r="H21" s="10">
        <f t="shared" si="16"/>
        <v>0.1598119219163309</v>
      </c>
      <c r="I21" s="10">
        <f t="shared" si="16"/>
        <v>0.12422683722652844</v>
      </c>
      <c r="J21" s="10">
        <f t="shared" si="16"/>
        <v>-0.23208913715072124</v>
      </c>
      <c r="K21" s="10">
        <f t="shared" si="16"/>
        <v>0.18953869232777854</v>
      </c>
      <c r="L21" s="10">
        <f t="shared" ref="L21:N21" si="17">L17/L3</f>
        <v>0.1883967587654406</v>
      </c>
      <c r="M21" s="10">
        <f t="shared" si="17"/>
        <v>0.1758325187827855</v>
      </c>
      <c r="N21" s="10">
        <f t="shared" si="17"/>
        <v>0.3106605817902981</v>
      </c>
      <c r="O21" s="10">
        <f t="shared" ref="O21:Q21" si="18">O17/O3</f>
        <v>0.21673597425758589</v>
      </c>
      <c r="P21" s="10">
        <f t="shared" si="18"/>
        <v>0.2945974744234231</v>
      </c>
      <c r="Q21" s="10">
        <f t="shared" si="18"/>
        <v>0.49833758187073873</v>
      </c>
      <c r="R21" s="10"/>
      <c r="S21" s="10"/>
      <c r="T21" s="10"/>
      <c r="U21" s="10">
        <f>U17/U3</f>
        <v>0.3355328371867945</v>
      </c>
      <c r="V21" s="10">
        <f>V17/V3</f>
        <v>2.3608455346736598E-2</v>
      </c>
      <c r="W21" s="10">
        <f>W17/W3</f>
        <v>0.21653681448217132</v>
      </c>
    </row>
    <row r="23" spans="1:23">
      <c r="B23" t="s">
        <v>60</v>
      </c>
      <c r="D23" s="10"/>
      <c r="G23" s="10">
        <f>(G3-C3)/C3</f>
        <v>2.9394673123486682E-2</v>
      </c>
      <c r="H23" s="10">
        <f t="shared" ref="H23:Q23" si="19">(H3-D3)/D3</f>
        <v>3.567030300384371E-2</v>
      </c>
      <c r="I23" s="10">
        <f t="shared" si="19"/>
        <v>3.1607252570335392E-2</v>
      </c>
      <c r="J23" s="10">
        <f t="shared" si="19"/>
        <v>0.22733649647693061</v>
      </c>
      <c r="K23" s="10">
        <f t="shared" si="19"/>
        <v>3.2450848770178876E-2</v>
      </c>
      <c r="L23" s="10">
        <f t="shared" si="19"/>
        <v>2.0940109390204062E-2</v>
      </c>
      <c r="M23" s="10">
        <f t="shared" si="19"/>
        <v>3.5904839068659405E-2</v>
      </c>
      <c r="N23" s="10">
        <f t="shared" si="19"/>
        <v>0.16987372961480665</v>
      </c>
      <c r="O23" s="10">
        <f t="shared" si="19"/>
        <v>2.9337541643519208E-2</v>
      </c>
      <c r="P23" s="10">
        <f t="shared" si="19"/>
        <v>4.7058975329456701E-2</v>
      </c>
      <c r="Q23" s="10">
        <f t="shared" si="19"/>
        <v>4.4409494021864206E-2</v>
      </c>
      <c r="R23" s="10"/>
      <c r="S23" s="10"/>
      <c r="T23" s="10"/>
      <c r="U23" s="10"/>
      <c r="V23" s="10">
        <f>(V3-U3)/U3</f>
        <v>7.1489200617386339E-2</v>
      </c>
      <c r="W23" s="10">
        <f>(W3-V3)/V3</f>
        <v>6.2024921692890443E-2</v>
      </c>
    </row>
    <row r="24" spans="1:23">
      <c r="B24" t="s">
        <v>62</v>
      </c>
      <c r="D24" s="10"/>
      <c r="G24" s="10">
        <f>(G12-C12)/ABS(C12)</f>
        <v>-0.94792184534787371</v>
      </c>
      <c r="H24" s="10">
        <f t="shared" ref="H24:Q24" si="20">(H12-D12)/ABS(D12)</f>
        <v>0.45895862595796061</v>
      </c>
      <c r="I24" s="10">
        <f t="shared" si="20"/>
        <v>1.5468966139411799</v>
      </c>
      <c r="J24" s="10">
        <f t="shared" si="20"/>
        <v>-1.1617376775271513</v>
      </c>
      <c r="K24" s="10">
        <f t="shared" si="20"/>
        <v>19.839868610141654</v>
      </c>
      <c r="L24" s="10">
        <f t="shared" si="20"/>
        <v>0.1393552455269173</v>
      </c>
      <c r="M24" s="10">
        <f t="shared" si="20"/>
        <v>7.9408934464457556E-2</v>
      </c>
      <c r="N24" s="10">
        <f t="shared" si="20"/>
        <v>3.0217660797700323</v>
      </c>
      <c r="O24" s="10">
        <f t="shared" si="20"/>
        <v>0.18997941109830463</v>
      </c>
      <c r="P24" s="10">
        <f t="shared" si="20"/>
        <v>0.58983544991846615</v>
      </c>
      <c r="Q24" s="10">
        <f t="shared" si="20"/>
        <v>0.69773572522423977</v>
      </c>
      <c r="R24" s="10"/>
      <c r="S24" s="10"/>
      <c r="T24" s="10"/>
      <c r="U24" s="10"/>
      <c r="V24" s="10">
        <f>(V12-U12)/U12</f>
        <v>-0.76924494472029192</v>
      </c>
      <c r="W24" s="10">
        <f>(W12-V12)/V12</f>
        <v>2.313768951509398</v>
      </c>
    </row>
    <row r="25" spans="1:23">
      <c r="B25" t="s">
        <v>61</v>
      </c>
      <c r="D25" s="10"/>
      <c r="G25" s="10">
        <f>(G17-C17)/ABS(C17)</f>
        <v>-0.86411867180488833</v>
      </c>
      <c r="H25" s="10">
        <f t="shared" ref="H25:Q25" si="21">(H17-D17)/ABS(D17)</f>
        <v>2.9775737704918033</v>
      </c>
      <c r="I25" s="10">
        <f t="shared" si="21"/>
        <v>1.9204392695386014</v>
      </c>
      <c r="J25" s="10">
        <f t="shared" si="21"/>
        <v>-1.2011502913831753</v>
      </c>
      <c r="K25" s="10">
        <f t="shared" si="21"/>
        <v>13.005957005957006</v>
      </c>
      <c r="L25" s="10">
        <f t="shared" si="21"/>
        <v>0.20355105674437007</v>
      </c>
      <c r="M25" s="10">
        <f t="shared" si="21"/>
        <v>0.46623516415035549</v>
      </c>
      <c r="N25" s="10">
        <f t="shared" si="21"/>
        <v>2.5659227223000269</v>
      </c>
      <c r="O25" s="10">
        <f t="shared" si="21"/>
        <v>0.17703922185032453</v>
      </c>
      <c r="P25" s="10">
        <f t="shared" si="21"/>
        <v>0.63729424925233435</v>
      </c>
      <c r="Q25" s="10">
        <f t="shared" si="21"/>
        <v>1.960024148756339</v>
      </c>
      <c r="R25" s="10"/>
      <c r="S25" s="10"/>
      <c r="T25" s="10"/>
      <c r="U25" s="10"/>
      <c r="V25" s="10">
        <f>(V17-U17)/U17</f>
        <v>-0.9246088545032527</v>
      </c>
      <c r="W25" s="10">
        <f>(W17-V17)/V17</f>
        <v>8.7408953727184198</v>
      </c>
    </row>
    <row r="26" spans="1:23">
      <c r="D26" s="3"/>
    </row>
  </sheetData>
  <phoneticPr fontId="6" type="noConversion"/>
  <hyperlinks>
    <hyperlink ref="A1" location="Sheet1!A1" display="Main" xr:uid="{9DA85369-0CBA-8448-B07D-1EADE395D84E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Dmytro Parkhomenko</dc:creator>
  <cp:lastModifiedBy>Dmytro Parkhomenko</cp:lastModifiedBy>
  <dcterms:created xsi:type="dcterms:W3CDTF">2026-01-26T21:47:48Z</dcterms:created>
  <dcterms:modified xsi:type="dcterms:W3CDTF">2026-02-01T14:13:22Z</dcterms:modified>
</cp:coreProperties>
</file>