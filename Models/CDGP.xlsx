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87f973740ffce/Documents/Personal/Education/1_Greenwich/FINA/"/>
    </mc:Choice>
  </mc:AlternateContent>
  <xr:revisionPtr revIDLastSave="952" documentId="8_{AB677FD1-DACE-674B-8687-43CC81DC24D9}" xr6:coauthVersionLast="47" xr6:coauthVersionMax="47" xr10:uidLastSave="{8065DC67-CD99-DD4F-801D-7384CB85BAC4}"/>
  <bookViews>
    <workbookView xWindow="0" yWindow="680" windowWidth="30240" windowHeight="17860" xr2:uid="{D13D7BE5-6829-5F46-8F18-3C3B077CFA17}"/>
  </bookViews>
  <sheets>
    <sheet name="Main" sheetId="1" r:id="rId1"/>
    <sheet name="Model" sheetId="2" r:id="rId2"/>
    <sheet name="Defini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2" l="1"/>
  <c r="E85" i="2"/>
  <c r="F85" i="2"/>
  <c r="E84" i="2"/>
  <c r="F84" i="2"/>
  <c r="D84" i="2"/>
  <c r="C53" i="2"/>
  <c r="C48" i="2"/>
  <c r="C42" i="2"/>
  <c r="C39" i="2"/>
  <c r="C70" i="2" s="1"/>
  <c r="D53" i="2"/>
  <c r="D66" i="2" s="1"/>
  <c r="D48" i="2"/>
  <c r="D65" i="2" s="1"/>
  <c r="D42" i="2"/>
  <c r="D62" i="2" s="1"/>
  <c r="D39" i="2"/>
  <c r="E53" i="2"/>
  <c r="E66" i="2" s="1"/>
  <c r="E48" i="2"/>
  <c r="E65" i="2" s="1"/>
  <c r="E42" i="2"/>
  <c r="E39" i="2"/>
  <c r="F53" i="2"/>
  <c r="F66" i="2" s="1"/>
  <c r="F48" i="2"/>
  <c r="F42" i="2"/>
  <c r="F62" i="2" s="1"/>
  <c r="F39" i="2"/>
  <c r="E29" i="2"/>
  <c r="F29" i="2"/>
  <c r="D29" i="2"/>
  <c r="C10" i="2"/>
  <c r="C7" i="2"/>
  <c r="C9" i="2" s="1"/>
  <c r="D10" i="2"/>
  <c r="D7" i="2"/>
  <c r="D9" i="2" s="1"/>
  <c r="E8" i="2"/>
  <c r="E7" i="2"/>
  <c r="F19" i="2"/>
  <c r="F7" i="2"/>
  <c r="F9" i="2" s="1"/>
  <c r="D45" i="1"/>
  <c r="C45" i="1"/>
  <c r="C51" i="1"/>
  <c r="E30" i="1"/>
  <c r="E31" i="1"/>
  <c r="E32" i="1"/>
  <c r="E33" i="1"/>
  <c r="E34" i="1"/>
  <c r="E36" i="1"/>
  <c r="E29" i="1"/>
  <c r="E22" i="1"/>
  <c r="E23" i="1"/>
  <c r="E24" i="1"/>
  <c r="E25" i="1"/>
  <c r="E21" i="1"/>
  <c r="D35" i="1"/>
  <c r="C35" i="1"/>
  <c r="D26" i="1"/>
  <c r="C26" i="1"/>
  <c r="E62" i="2" l="1"/>
  <c r="D61" i="2"/>
  <c r="D70" i="2"/>
  <c r="E61" i="2"/>
  <c r="E70" i="2"/>
  <c r="F65" i="2"/>
  <c r="K22" i="1"/>
  <c r="K21" i="1"/>
  <c r="F70" i="2"/>
  <c r="F61" i="2"/>
  <c r="E43" i="2"/>
  <c r="C43" i="2"/>
  <c r="F54" i="2"/>
  <c r="C54" i="2"/>
  <c r="D54" i="2"/>
  <c r="D64" i="2" s="1"/>
  <c r="D43" i="2"/>
  <c r="E54" i="2"/>
  <c r="E64" i="2" s="1"/>
  <c r="F43" i="2"/>
  <c r="C11" i="2"/>
  <c r="C14" i="2" s="1"/>
  <c r="C25" i="2"/>
  <c r="D25" i="2"/>
  <c r="D11" i="2"/>
  <c r="D14" i="2" s="1"/>
  <c r="E9" i="2"/>
  <c r="F11" i="2"/>
  <c r="F14" i="2" s="1"/>
  <c r="F25" i="2"/>
  <c r="E26" i="1"/>
  <c r="E43" i="1"/>
  <c r="E44" i="1"/>
  <c r="E42" i="1"/>
  <c r="E35" i="1"/>
  <c r="K8" i="1"/>
  <c r="K11" i="1" s="1"/>
  <c r="K6" i="1"/>
  <c r="E60" i="2" l="1"/>
  <c r="D60" i="2"/>
  <c r="K23" i="1"/>
  <c r="C56" i="2"/>
  <c r="C57" i="2" s="1"/>
  <c r="E56" i="2"/>
  <c r="K28" i="1"/>
  <c r="K29" i="1"/>
  <c r="F64" i="2"/>
  <c r="F56" i="2"/>
  <c r="K25" i="1"/>
  <c r="F60" i="2"/>
  <c r="K26" i="1"/>
  <c r="K7" i="1"/>
  <c r="K10" i="1" s="1"/>
  <c r="K14" i="1" s="1"/>
  <c r="F22" i="2"/>
  <c r="D56" i="2"/>
  <c r="C26" i="2"/>
  <c r="C18" i="2"/>
  <c r="C20" i="2" s="1"/>
  <c r="C27" i="2" s="1"/>
  <c r="D30" i="2"/>
  <c r="D18" i="2"/>
  <c r="D20" i="2" s="1"/>
  <c r="D26" i="2"/>
  <c r="E25" i="2"/>
  <c r="E11" i="2"/>
  <c r="E14" i="2" s="1"/>
  <c r="F18" i="2"/>
  <c r="F20" i="2" s="1"/>
  <c r="F26" i="2"/>
  <c r="E45" i="1"/>
  <c r="E68" i="2" l="1"/>
  <c r="E57" i="2"/>
  <c r="F68" i="2"/>
  <c r="K30" i="1"/>
  <c r="F57" i="2"/>
  <c r="D57" i="2"/>
  <c r="D68" i="2"/>
  <c r="F30" i="2"/>
  <c r="E30" i="2"/>
  <c r="D31" i="2"/>
  <c r="E18" i="2"/>
  <c r="E20" i="2" s="1"/>
  <c r="K15" i="1" s="1"/>
  <c r="E26" i="2"/>
  <c r="C22" i="2"/>
  <c r="D22" i="2"/>
  <c r="D27" i="2"/>
  <c r="F27" i="2"/>
  <c r="F23" i="2"/>
  <c r="K33" i="1" l="1"/>
  <c r="K32" i="1"/>
  <c r="E31" i="2"/>
  <c r="F31" i="2"/>
  <c r="E27" i="2"/>
  <c r="E22" i="2"/>
</calcChain>
</file>

<file path=xl/sharedStrings.xml><?xml version="1.0" encoding="utf-8"?>
<sst xmlns="http://schemas.openxmlformats.org/spreadsheetml/2006/main" count="191" uniqueCount="168">
  <si>
    <t xml:space="preserve">Price </t>
  </si>
  <si>
    <t>Shares</t>
  </si>
  <si>
    <t xml:space="preserve">MC </t>
  </si>
  <si>
    <t xml:space="preserve">Debt </t>
  </si>
  <si>
    <t xml:space="preserve">Cash </t>
  </si>
  <si>
    <t xml:space="preserve">EV </t>
  </si>
  <si>
    <t>FY2024</t>
  </si>
  <si>
    <t>Debt = borrowings + current/non-current lease liabilities (interest-bearing debt)</t>
  </si>
  <si>
    <t>* all numbers in thousands</t>
  </si>
  <si>
    <t xml:space="preserve">EBIT </t>
  </si>
  <si>
    <t>EV/EBIT</t>
  </si>
  <si>
    <t>Cash = Cash and cash equivalents</t>
  </si>
  <si>
    <t>CHAPEL DOWN GROUP PLC</t>
  </si>
  <si>
    <t>England's leading winemaker, offering premium sparkling, white, and rosé wines</t>
  </si>
  <si>
    <t>Chapel Down is now the only English wine company with a stock market listing.</t>
  </si>
  <si>
    <t>Strategic report</t>
  </si>
  <si>
    <t>Sales</t>
  </si>
  <si>
    <t>Sparkling</t>
  </si>
  <si>
    <t>A Touch of Sparkle</t>
  </si>
  <si>
    <t>Still</t>
  </si>
  <si>
    <t>Spirits</t>
  </si>
  <si>
    <t>Tours &amp; Other</t>
  </si>
  <si>
    <t xml:space="preserve">Total </t>
  </si>
  <si>
    <t>Channel</t>
  </si>
  <si>
    <t>Category</t>
  </si>
  <si>
    <t>Off-trade</t>
  </si>
  <si>
    <t>On-trade</t>
  </si>
  <si>
    <t>International</t>
  </si>
  <si>
    <t xml:space="preserve">eCommerce </t>
  </si>
  <si>
    <t xml:space="preserve">Retail, Tours &amp; Events </t>
  </si>
  <si>
    <t>Other sales</t>
  </si>
  <si>
    <t xml:space="preserve">Of which DTC </t>
  </si>
  <si>
    <t>35.00 GBX</t>
  </si>
  <si>
    <t>Sector: Consumer Defensive</t>
  </si>
  <si>
    <t xml:space="preserve">Employees: 92 </t>
  </si>
  <si>
    <t>It sells its products through its shops, as well as online</t>
  </si>
  <si>
    <t>Core operations: Production and sale of alcoholic beverages in the UK and internationally</t>
  </si>
  <si>
    <t>Founded: 2002</t>
  </si>
  <si>
    <t>HQ: London</t>
  </si>
  <si>
    <t xml:space="preserve">Change, % </t>
  </si>
  <si>
    <t>CEO: James Pennefather</t>
  </si>
  <si>
    <t>CFO:  Robert Smith</t>
  </si>
  <si>
    <t>Shareholders &gt;3%</t>
  </si>
  <si>
    <t>IPGL &amp; Michael
Spencer</t>
  </si>
  <si>
    <t>Adrian Bridge</t>
  </si>
  <si>
    <t>NigelWray</t>
  </si>
  <si>
    <t>Total % of major shareholders</t>
  </si>
  <si>
    <t>United Kingdom</t>
  </si>
  <si>
    <t>Rest of Europe</t>
  </si>
  <si>
    <t>Rest of the world</t>
  </si>
  <si>
    <t>Total</t>
  </si>
  <si>
    <t xml:space="preserve">% of Total  </t>
  </si>
  <si>
    <t>Geography</t>
  </si>
  <si>
    <t>Revenue structure</t>
  </si>
  <si>
    <t>*Our ambition is to win the equivalent of 1% of the 300 million bottle global Champagne market by 2035.</t>
  </si>
  <si>
    <t xml:space="preserve">Net debt  </t>
  </si>
  <si>
    <t>FY2023</t>
  </si>
  <si>
    <t>Main</t>
  </si>
  <si>
    <t xml:space="preserve">Revenue </t>
  </si>
  <si>
    <t>Cost of Sales</t>
  </si>
  <si>
    <t xml:space="preserve">Gross profit </t>
  </si>
  <si>
    <t xml:space="preserve">SG&amp;A </t>
  </si>
  <si>
    <t>Fair value of bio produce</t>
  </si>
  <si>
    <t>Exceptional costs</t>
  </si>
  <si>
    <t>Operating profit</t>
  </si>
  <si>
    <t xml:space="preserve">Gross operating profit </t>
  </si>
  <si>
    <t xml:space="preserve">Finance income </t>
  </si>
  <si>
    <t xml:space="preserve">Finance costs </t>
  </si>
  <si>
    <t>PreTax</t>
  </si>
  <si>
    <t>Taxes</t>
  </si>
  <si>
    <t xml:space="preserve">Net income </t>
  </si>
  <si>
    <t>*in thousands, GBP</t>
  </si>
  <si>
    <t xml:space="preserve">Duty </t>
  </si>
  <si>
    <t>Retros</t>
  </si>
  <si>
    <t>Net Sales</t>
  </si>
  <si>
    <t>EPS, pence/share</t>
  </si>
  <si>
    <t>Gross margin</t>
  </si>
  <si>
    <t>Operating margin</t>
  </si>
  <si>
    <t xml:space="preserve">Profit margin </t>
  </si>
  <si>
    <t>expense generally refers to the tax or tariff imposed by a government on goods imported from another country</t>
  </si>
  <si>
    <t>extra income added to an employee's paycheck to compensate the employee for unpaid work performed</t>
  </si>
  <si>
    <t>Selling, General, and Administrative: all non-production costs required to operate a business. In IS stated as Administrative</t>
  </si>
  <si>
    <t>Other income (expense)</t>
  </si>
  <si>
    <t>Profit growth y/y</t>
  </si>
  <si>
    <t>Gross profit grwoth y/y</t>
  </si>
  <si>
    <t>Operating profit growth y/y</t>
  </si>
  <si>
    <t xml:space="preserve">BS </t>
  </si>
  <si>
    <t xml:space="preserve">IS </t>
  </si>
  <si>
    <t>Inventory</t>
  </si>
  <si>
    <t xml:space="preserve">Current asset of Biological produce &amp; other inventories </t>
  </si>
  <si>
    <t xml:space="preserve">A/R </t>
  </si>
  <si>
    <t>Cash</t>
  </si>
  <si>
    <t>Cash and cash equivalents</t>
  </si>
  <si>
    <t>Trade and other receivables</t>
  </si>
  <si>
    <t xml:space="preserve">Current assets </t>
  </si>
  <si>
    <t>Intangibles</t>
  </si>
  <si>
    <t>PP&amp;E</t>
  </si>
  <si>
    <t xml:space="preserve">Property, plant, and equipment: tangible, long-term, non-current assets essential for business operations (land, machines) </t>
  </si>
  <si>
    <t>Total assets</t>
  </si>
  <si>
    <t>Short-term debt</t>
  </si>
  <si>
    <t xml:space="preserve">Short-term debt </t>
  </si>
  <si>
    <t>A/P</t>
  </si>
  <si>
    <t>Trade and other payables</t>
  </si>
  <si>
    <t>Agricultural produce, price that would be received to sell the asset in an orderly transaction</t>
  </si>
  <si>
    <t>Lease liabilities</t>
  </si>
  <si>
    <t>Current Lease liabilities</t>
  </si>
  <si>
    <t>Current liabilities</t>
  </si>
  <si>
    <t>Long-term debt</t>
  </si>
  <si>
    <t>Indicated in BS as Borrowings with a maturity date longer than one year</t>
  </si>
  <si>
    <t>Indicated in BS  as Borrowings payable within a year</t>
  </si>
  <si>
    <t xml:space="preserve">A/P </t>
  </si>
  <si>
    <t xml:space="preserve">Deferred tax </t>
  </si>
  <si>
    <t>Total liabilities</t>
  </si>
  <si>
    <t>L+E</t>
  </si>
  <si>
    <t>Total non-current liabilities</t>
  </si>
  <si>
    <t xml:space="preserve">Non-current assets </t>
  </si>
  <si>
    <t xml:space="preserve">Total Equity (A-L) </t>
  </si>
  <si>
    <t>Total assets growth</t>
  </si>
  <si>
    <t>Current assets growth</t>
  </si>
  <si>
    <t>Non-current assets growth</t>
  </si>
  <si>
    <t>Total liabilities change</t>
  </si>
  <si>
    <t>Current liabilities change</t>
  </si>
  <si>
    <t>Long-term liabilities change</t>
  </si>
  <si>
    <t>Equity growth</t>
  </si>
  <si>
    <t xml:space="preserve">Liquidity current ratio </t>
  </si>
  <si>
    <t>Net working capital</t>
  </si>
  <si>
    <t>Inventory intensity</t>
  </si>
  <si>
    <t>A/R intensity</t>
  </si>
  <si>
    <t xml:space="preserve">ROA </t>
  </si>
  <si>
    <t xml:space="preserve">ROE </t>
  </si>
  <si>
    <t>Return on Assets: ratio measuring how efficiently a company uses its assets to generate earnings</t>
  </si>
  <si>
    <t>Earnings</t>
  </si>
  <si>
    <t xml:space="preserve">*normal as for production company </t>
  </si>
  <si>
    <t>*healthy: little money is hanging in accounts receivable</t>
  </si>
  <si>
    <t>*very low level: every £100 of assets generates only £3 of profit</t>
  </si>
  <si>
    <t>*owners receive £5 for every £100 of capital</t>
  </si>
  <si>
    <t>Debt ratio</t>
  </si>
  <si>
    <t>Debt-to-equity</t>
  </si>
  <si>
    <t>Equity ratio</t>
  </si>
  <si>
    <t>*within healthy range: 44% of assets are financed by debt</t>
  </si>
  <si>
    <t>https://eqvista.com/debt-to-equity-ratio-by-industry/</t>
  </si>
  <si>
    <t xml:space="preserve">*market avarages: </t>
  </si>
  <si>
    <t>*market average (0.7637) - controlled risk</t>
  </si>
  <si>
    <t>*low risk of bankruptcy</t>
  </si>
  <si>
    <t>CFS</t>
  </si>
  <si>
    <t>Working capital changes</t>
  </si>
  <si>
    <t>CapEx</t>
  </si>
  <si>
    <t>Net change in cash</t>
  </si>
  <si>
    <t>Net income</t>
  </si>
  <si>
    <t>OCF</t>
  </si>
  <si>
    <t>FCF</t>
  </si>
  <si>
    <t>Operating cash flow: cash generated by a company's core business operations</t>
  </si>
  <si>
    <t>Free cash flow: cash a company generates after covering its operating expenses and capital expenditures</t>
  </si>
  <si>
    <t>CFF</t>
  </si>
  <si>
    <t>Cash flow from financing activities: measures the net flow of cash between a company and its owners/creditors</t>
  </si>
  <si>
    <t xml:space="preserve">Non-cash adjustments </t>
  </si>
  <si>
    <t>OCF growth y/y</t>
  </si>
  <si>
    <t>FCF growth y/y</t>
  </si>
  <si>
    <t>**growth company with poor cash discipline.</t>
  </si>
  <si>
    <t/>
  </si>
  <si>
    <t>The company may increase its use of debt financing to support CapEx and growth</t>
  </si>
  <si>
    <t>provided that operating cash flow is stabilized and working capital is controlled.</t>
  </si>
  <si>
    <t>*the company is burning cash through aggressive expansion (asset acquisitions, CapEx)</t>
  </si>
  <si>
    <t>+this is very capital-intensive business</t>
  </si>
  <si>
    <t>Return on Equity: financial metric measuring  how much profit a company generates with shareholders' capital</t>
  </si>
  <si>
    <t>LON: CDGP</t>
  </si>
  <si>
    <t>Capital Structure</t>
  </si>
  <si>
    <t>IPO: 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</si>
</sst>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0"/>
      <color theme="1"/>
      <name val="ArialMT"/>
      <family val="2"/>
    </font>
    <font>
      <i/>
      <sz val="10"/>
      <color theme="1"/>
      <name val="ArialMT"/>
    </font>
    <font>
      <b/>
      <sz val="10"/>
      <color theme="1"/>
      <name val="ArialMT"/>
    </font>
    <font>
      <sz val="10"/>
      <color theme="1"/>
      <name val="ArialMT"/>
    </font>
    <font>
      <u/>
      <sz val="10"/>
      <color theme="10"/>
      <name val="ArialMT"/>
      <family val="2"/>
    </font>
    <font>
      <b/>
      <i/>
      <sz val="10"/>
      <color theme="1"/>
      <name val="ArialMT"/>
    </font>
    <font>
      <i/>
      <u/>
      <sz val="10"/>
      <color theme="10"/>
      <name val="Arial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9" fontId="0" fillId="0" borderId="0" xfId="0" applyNumberFormat="1"/>
    <xf numFmtId="9" fontId="2" fillId="0" borderId="0" xfId="0" applyNumberFormat="1" applyFont="1"/>
    <xf numFmtId="4" fontId="2" fillId="0" borderId="0" xfId="0" applyNumberFormat="1" applyFont="1"/>
    <xf numFmtId="0" fontId="0" fillId="0" borderId="0" xfId="0" applyAlignment="1">
      <alignment wrapText="1"/>
    </xf>
    <xf numFmtId="10" fontId="0" fillId="0" borderId="0" xfId="0" applyNumberFormat="1"/>
    <xf numFmtId="0" fontId="2" fillId="0" borderId="0" xfId="0" applyFont="1" applyAlignment="1">
      <alignment horizontal="right"/>
    </xf>
    <xf numFmtId="164" fontId="0" fillId="0" borderId="0" xfId="0" applyNumberFormat="1"/>
    <xf numFmtId="0" fontId="1" fillId="0" borderId="0" xfId="0" applyFont="1" applyAlignment="1">
      <alignment horizontal="right"/>
    </xf>
    <xf numFmtId="0" fontId="4" fillId="0" borderId="0" xfId="1"/>
    <xf numFmtId="3" fontId="3" fillId="0" borderId="0" xfId="0" applyNumberFormat="1" applyFont="1"/>
    <xf numFmtId="0" fontId="5" fillId="0" borderId="0" xfId="0" applyFont="1"/>
    <xf numFmtId="0" fontId="6" fillId="0" borderId="0" xfId="1" applyFont="1"/>
    <xf numFmtId="0" fontId="5" fillId="0" borderId="0" xfId="0" applyFont="1" applyAlignment="1">
      <alignment horizontal="right"/>
    </xf>
    <xf numFmtId="0" fontId="0" fillId="0" borderId="0" xfId="0" quotePrefix="1"/>
    <xf numFmtId="0" fontId="1" fillId="0" borderId="0" xfId="0" quotePrefix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qvista.com/debt-to-equity-ratio-by-indust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04AB-9C81-9649-A2BF-11AB7A903DA8}">
  <dimension ref="B2:M55"/>
  <sheetViews>
    <sheetView tabSelected="1" zoomScale="132" workbookViewId="0">
      <selection activeCell="B2" sqref="B2"/>
    </sheetView>
  </sheetViews>
  <sheetFormatPr baseColWidth="10" defaultRowHeight="13"/>
  <cols>
    <col min="2" max="2" width="22.33203125" customWidth="1"/>
    <col min="10" max="10" width="16.1640625" customWidth="1"/>
    <col min="11" max="11" width="11.33203125" customWidth="1"/>
  </cols>
  <sheetData>
    <row r="2" spans="2:13">
      <c r="B2" s="6" t="s">
        <v>12</v>
      </c>
      <c r="J2" s="5" t="s">
        <v>8</v>
      </c>
    </row>
    <row r="3" spans="2:13">
      <c r="B3" s="6" t="s">
        <v>165</v>
      </c>
      <c r="J3" s="5"/>
    </row>
    <row r="4" spans="2:13">
      <c r="B4" s="8" t="s">
        <v>37</v>
      </c>
      <c r="J4" s="24" t="s">
        <v>166</v>
      </c>
      <c r="K4" s="25"/>
      <c r="L4" s="26"/>
    </row>
    <row r="5" spans="2:13">
      <c r="B5" t="s">
        <v>167</v>
      </c>
      <c r="J5" t="s">
        <v>0</v>
      </c>
      <c r="K5" s="2">
        <v>0.35</v>
      </c>
      <c r="L5" s="1" t="s">
        <v>32</v>
      </c>
    </row>
    <row r="6" spans="2:13">
      <c r="B6" s="8" t="s">
        <v>34</v>
      </c>
      <c r="J6" t="s">
        <v>1</v>
      </c>
      <c r="K6" s="3">
        <f>171520</f>
        <v>171520</v>
      </c>
    </row>
    <row r="7" spans="2:13">
      <c r="J7" t="s">
        <v>2</v>
      </c>
      <c r="K7" s="3">
        <f>K5*K6</f>
        <v>60031.999999999993</v>
      </c>
    </row>
    <row r="8" spans="2:13">
      <c r="B8" s="6" t="s">
        <v>33</v>
      </c>
      <c r="J8" t="s">
        <v>3</v>
      </c>
      <c r="K8" s="3">
        <f>9225+9975+376</f>
        <v>19576</v>
      </c>
      <c r="L8" s="16" t="s">
        <v>6</v>
      </c>
    </row>
    <row r="9" spans="2:13">
      <c r="B9" s="6" t="s">
        <v>36</v>
      </c>
      <c r="J9" t="s">
        <v>4</v>
      </c>
      <c r="K9" s="3">
        <v>981.96299999999997</v>
      </c>
      <c r="L9" s="16" t="s">
        <v>6</v>
      </c>
    </row>
    <row r="10" spans="2:13">
      <c r="J10" s="6" t="s">
        <v>5</v>
      </c>
      <c r="K10" s="7">
        <f>K7-K9+K8</f>
        <v>78626.036999999982</v>
      </c>
      <c r="L10" s="19"/>
      <c r="M10" s="6"/>
    </row>
    <row r="11" spans="2:13" s="6" customFormat="1">
      <c r="B11" s="6" t="s">
        <v>38</v>
      </c>
      <c r="J11" t="s">
        <v>55</v>
      </c>
      <c r="K11" s="3">
        <f>K8-K9</f>
        <v>18594.037</v>
      </c>
      <c r="L11" s="5"/>
      <c r="M11"/>
    </row>
    <row r="12" spans="2:13">
      <c r="B12" t="s">
        <v>13</v>
      </c>
    </row>
    <row r="13" spans="2:13">
      <c r="B13" s="8" t="s">
        <v>35</v>
      </c>
      <c r="J13" t="s">
        <v>9</v>
      </c>
      <c r="K13" s="3">
        <v>2452.9580000000001</v>
      </c>
      <c r="L13" s="16" t="s">
        <v>56</v>
      </c>
    </row>
    <row r="14" spans="2:13">
      <c r="B14" t="s">
        <v>14</v>
      </c>
      <c r="J14" t="s">
        <v>10</v>
      </c>
      <c r="K14" s="4">
        <f>K10/K13</f>
        <v>32.053560232176814</v>
      </c>
    </row>
    <row r="15" spans="2:13">
      <c r="J15" s="6" t="s">
        <v>131</v>
      </c>
      <c r="K15" s="7">
        <f>Model!E20</f>
        <v>1527.3530000000014</v>
      </c>
      <c r="L15" s="21" t="s">
        <v>56</v>
      </c>
    </row>
    <row r="16" spans="2:13">
      <c r="B16" s="5" t="s">
        <v>54</v>
      </c>
    </row>
    <row r="17" spans="2:13">
      <c r="J17" s="4" t="s">
        <v>11</v>
      </c>
    </row>
    <row r="18" spans="2:13">
      <c r="B18" s="24" t="s">
        <v>15</v>
      </c>
      <c r="C18" s="25"/>
      <c r="D18" s="25"/>
      <c r="E18" s="26"/>
      <c r="J18" t="s">
        <v>7</v>
      </c>
    </row>
    <row r="19" spans="2:13">
      <c r="B19" s="6" t="s">
        <v>16</v>
      </c>
      <c r="C19" s="6">
        <v>2024</v>
      </c>
      <c r="D19" s="6">
        <v>2023</v>
      </c>
      <c r="E19" s="6" t="s">
        <v>39</v>
      </c>
    </row>
    <row r="20" spans="2:13">
      <c r="B20" s="6" t="s">
        <v>24</v>
      </c>
    </row>
    <row r="21" spans="2:13">
      <c r="B21" t="s">
        <v>17</v>
      </c>
      <c r="C21" s="3">
        <v>10582</v>
      </c>
      <c r="D21" s="3">
        <v>11444</v>
      </c>
      <c r="E21" s="9">
        <f>(C21-D21)/D21</f>
        <v>-7.5323313526738905E-2</v>
      </c>
      <c r="J21" t="s">
        <v>94</v>
      </c>
      <c r="K21" s="3">
        <f>Model!F39</f>
        <v>31544.155000000002</v>
      </c>
      <c r="L21" s="16" t="s">
        <v>6</v>
      </c>
    </row>
    <row r="22" spans="2:13">
      <c r="B22" t="s">
        <v>18</v>
      </c>
      <c r="C22" s="3">
        <v>1347</v>
      </c>
      <c r="D22" s="3">
        <v>1399</v>
      </c>
      <c r="E22" s="9">
        <f t="shared" ref="E22:E26" si="0">(C22-D22)/D22</f>
        <v>-3.7169406719085057E-2</v>
      </c>
      <c r="J22" t="s">
        <v>106</v>
      </c>
      <c r="K22" s="3">
        <f>Model!F48</f>
        <v>15396.417000000001</v>
      </c>
      <c r="L22" s="16" t="s">
        <v>6</v>
      </c>
    </row>
    <row r="23" spans="2:13">
      <c r="B23" t="s">
        <v>19</v>
      </c>
      <c r="C23" s="3">
        <v>3113</v>
      </c>
      <c r="D23" s="3">
        <v>2545</v>
      </c>
      <c r="E23" s="9">
        <f t="shared" si="0"/>
        <v>0.22318271119842828</v>
      </c>
      <c r="J23" s="6" t="s">
        <v>125</v>
      </c>
      <c r="K23" s="7">
        <f>K21-K22</f>
        <v>16147.738000000001</v>
      </c>
    </row>
    <row r="24" spans="2:13">
      <c r="B24" t="s">
        <v>20</v>
      </c>
      <c r="C24" s="3">
        <v>161</v>
      </c>
      <c r="D24" s="3">
        <v>553</v>
      </c>
      <c r="E24" s="9">
        <f t="shared" si="0"/>
        <v>-0.70886075949367089</v>
      </c>
    </row>
    <row r="25" spans="2:13">
      <c r="B25" t="s">
        <v>21</v>
      </c>
      <c r="C25" s="3">
        <v>1148</v>
      </c>
      <c r="D25" s="3">
        <v>1260</v>
      </c>
      <c r="E25" s="9">
        <f t="shared" si="0"/>
        <v>-8.8888888888888892E-2</v>
      </c>
      <c r="J25" t="s">
        <v>126</v>
      </c>
      <c r="K25" s="4">
        <f>Model!F37/Model!F43</f>
        <v>0.45502231355601835</v>
      </c>
      <c r="L25" s="5" t="s">
        <v>132</v>
      </c>
    </row>
    <row r="26" spans="2:13">
      <c r="B26" s="6" t="s">
        <v>22</v>
      </c>
      <c r="C26" s="7">
        <f>SUM(C21:C25)</f>
        <v>16351</v>
      </c>
      <c r="D26" s="7">
        <f>SUM(D21:D25)</f>
        <v>17201</v>
      </c>
      <c r="E26" s="10">
        <f t="shared" si="0"/>
        <v>-4.9415731643509098E-2</v>
      </c>
      <c r="J26" t="s">
        <v>127</v>
      </c>
      <c r="K26" s="4">
        <f>Model!F38/Model!F43</f>
        <v>6.861096582491058E-2</v>
      </c>
      <c r="L26" s="5" t="s">
        <v>133</v>
      </c>
    </row>
    <row r="27" spans="2:13">
      <c r="J27" s="6"/>
      <c r="K27" s="6"/>
      <c r="L27" s="6"/>
      <c r="M27" s="6"/>
    </row>
    <row r="28" spans="2:13">
      <c r="B28" s="6" t="s">
        <v>23</v>
      </c>
      <c r="C28" s="6"/>
      <c r="D28" s="6"/>
      <c r="J28" s="6" t="s">
        <v>136</v>
      </c>
      <c r="K28" s="11">
        <f>Model!F54/Model!F43</f>
        <v>0.44056821032771665</v>
      </c>
      <c r="L28" s="19" t="s">
        <v>139</v>
      </c>
      <c r="M28" s="6"/>
    </row>
    <row r="29" spans="2:13">
      <c r="B29" t="s">
        <v>25</v>
      </c>
      <c r="C29" s="3">
        <v>6790</v>
      </c>
      <c r="D29" s="3">
        <v>8428</v>
      </c>
      <c r="E29" s="9">
        <f>(C29-D29)/D29</f>
        <v>-0.19435215946843853</v>
      </c>
      <c r="J29" t="s">
        <v>137</v>
      </c>
      <c r="K29" s="4">
        <f>Model!F54/Model!F56</f>
        <v>0.78752802121917787</v>
      </c>
      <c r="L29" s="5" t="s">
        <v>142</v>
      </c>
    </row>
    <row r="30" spans="2:13">
      <c r="B30" s="8" t="s">
        <v>26</v>
      </c>
      <c r="C30" s="3">
        <v>2460</v>
      </c>
      <c r="D30" s="3">
        <v>2122</v>
      </c>
      <c r="E30" s="9">
        <f t="shared" ref="E30:E36" si="1">(C30-D30)/D30</f>
        <v>0.15928369462770972</v>
      </c>
      <c r="J30" t="s">
        <v>138</v>
      </c>
      <c r="K30" s="4">
        <f>Model!F56/Model!F43</f>
        <v>0.55943178967228335</v>
      </c>
      <c r="L30" s="5" t="s">
        <v>143</v>
      </c>
    </row>
    <row r="31" spans="2:13">
      <c r="B31" s="8" t="s">
        <v>27</v>
      </c>
      <c r="C31" s="3">
        <v>684</v>
      </c>
      <c r="D31" s="3">
        <v>760</v>
      </c>
      <c r="E31" s="9">
        <f t="shared" si="1"/>
        <v>-0.1</v>
      </c>
    </row>
    <row r="32" spans="2:13">
      <c r="B32" s="8" t="s">
        <v>28</v>
      </c>
      <c r="C32" s="3">
        <v>3755</v>
      </c>
      <c r="D32" s="3">
        <v>3070</v>
      </c>
      <c r="E32" s="9">
        <f t="shared" si="1"/>
        <v>0.22312703583061888</v>
      </c>
      <c r="J32" t="s">
        <v>128</v>
      </c>
      <c r="K32" s="9">
        <f>K15/AVERAGE(Model!C43:F43)</f>
        <v>3.2652892550543225E-2</v>
      </c>
      <c r="L32" s="5" t="s">
        <v>134</v>
      </c>
    </row>
    <row r="33" spans="2:12">
      <c r="B33" s="8" t="s">
        <v>29</v>
      </c>
      <c r="C33" s="3">
        <v>2241</v>
      </c>
      <c r="D33" s="3">
        <v>2250</v>
      </c>
      <c r="E33" s="9">
        <f t="shared" si="1"/>
        <v>-4.0000000000000001E-3</v>
      </c>
      <c r="J33" t="s">
        <v>129</v>
      </c>
      <c r="K33" s="9">
        <f>K15/AVERAGE(Model!C56:F56)</f>
        <v>4.6800885322030548E-2</v>
      </c>
      <c r="L33" s="5" t="s">
        <v>135</v>
      </c>
    </row>
    <row r="34" spans="2:12">
      <c r="B34" s="8" t="s">
        <v>30</v>
      </c>
      <c r="C34" s="3">
        <v>421</v>
      </c>
      <c r="D34" s="3">
        <v>571</v>
      </c>
      <c r="E34" s="9">
        <f t="shared" si="1"/>
        <v>-0.26269702276707529</v>
      </c>
    </row>
    <row r="35" spans="2:12">
      <c r="B35" s="6" t="s">
        <v>22</v>
      </c>
      <c r="C35" s="7">
        <f>SUM(C29:C34)</f>
        <v>16351</v>
      </c>
      <c r="D35" s="7">
        <f>SUM(D29:D34)</f>
        <v>17201</v>
      </c>
      <c r="E35" s="10">
        <f t="shared" si="1"/>
        <v>-4.9415731643509098E-2</v>
      </c>
      <c r="J35" s="5" t="s">
        <v>141</v>
      </c>
      <c r="K35" s="20" t="s">
        <v>140</v>
      </c>
    </row>
    <row r="36" spans="2:12">
      <c r="B36" s="8" t="s">
        <v>31</v>
      </c>
      <c r="C36" s="3">
        <v>6343</v>
      </c>
      <c r="D36" s="3">
        <v>5684</v>
      </c>
      <c r="E36" s="9">
        <f t="shared" si="1"/>
        <v>0.11593947923997185</v>
      </c>
    </row>
    <row r="40" spans="2:12">
      <c r="B40" s="24" t="s">
        <v>53</v>
      </c>
      <c r="C40" s="25"/>
      <c r="D40" s="25"/>
      <c r="E40" s="26"/>
    </row>
    <row r="41" spans="2:12">
      <c r="B41" s="6" t="s">
        <v>52</v>
      </c>
      <c r="C41" s="6">
        <v>2024</v>
      </c>
      <c r="D41" s="6">
        <v>2023</v>
      </c>
      <c r="E41" s="14" t="s">
        <v>51</v>
      </c>
    </row>
    <row r="42" spans="2:12">
      <c r="B42" t="s">
        <v>47</v>
      </c>
      <c r="C42" s="3">
        <v>16177439</v>
      </c>
      <c r="D42" s="3">
        <v>16826431</v>
      </c>
      <c r="E42" s="15">
        <f>C42/$C$45</f>
        <v>0.98936853678156145</v>
      </c>
    </row>
    <row r="43" spans="2:12">
      <c r="B43" t="s">
        <v>48</v>
      </c>
      <c r="C43" s="3">
        <v>31684</v>
      </c>
      <c r="D43" s="3">
        <v>171479</v>
      </c>
      <c r="E43" s="15">
        <f t="shared" ref="E43:E44" si="2">C43/$C$45</f>
        <v>1.9377079845201081E-3</v>
      </c>
    </row>
    <row r="44" spans="2:12">
      <c r="B44" t="s">
        <v>49</v>
      </c>
      <c r="C44" s="3">
        <v>142154</v>
      </c>
      <c r="D44" s="3">
        <v>203136</v>
      </c>
      <c r="E44" s="15">
        <f t="shared" si="2"/>
        <v>8.6937552339184272E-3</v>
      </c>
    </row>
    <row r="45" spans="2:12">
      <c r="B45" s="6" t="s">
        <v>50</v>
      </c>
      <c r="C45" s="7">
        <f>SUM(C42:C44)</f>
        <v>16351277</v>
      </c>
      <c r="D45" s="7">
        <f>SUM(D42:D44)</f>
        <v>17201046</v>
      </c>
      <c r="E45" s="10">
        <f>SUM(E42:E44)</f>
        <v>1</v>
      </c>
    </row>
    <row r="47" spans="2:12">
      <c r="B47" s="6" t="s">
        <v>42</v>
      </c>
    </row>
    <row r="48" spans="2:12" ht="28">
      <c r="B48" s="12" t="s">
        <v>43</v>
      </c>
      <c r="C48" s="13">
        <v>0.27</v>
      </c>
    </row>
    <row r="49" spans="2:3">
      <c r="B49" t="s">
        <v>45</v>
      </c>
      <c r="C49" s="13">
        <v>0.13800000000000001</v>
      </c>
    </row>
    <row r="50" spans="2:3">
      <c r="B50" t="s">
        <v>44</v>
      </c>
      <c r="C50" s="13">
        <v>3.6999999999999998E-2</v>
      </c>
    </row>
    <row r="51" spans="2:3">
      <c r="B51" t="s">
        <v>46</v>
      </c>
      <c r="C51" s="13">
        <f>SUM(C48:C50)</f>
        <v>0.44500000000000001</v>
      </c>
    </row>
    <row r="54" spans="2:3">
      <c r="B54" t="s">
        <v>40</v>
      </c>
    </row>
    <row r="55" spans="2:3">
      <c r="B55" t="s">
        <v>41</v>
      </c>
    </row>
  </sheetData>
  <mergeCells count="3">
    <mergeCell ref="B18:E18"/>
    <mergeCell ref="B40:E40"/>
    <mergeCell ref="J4:L4"/>
  </mergeCells>
  <hyperlinks>
    <hyperlink ref="K35" r:id="rId1" xr:uid="{D23C92F1-6734-7D46-B7EE-D4E07767F0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56EB-D32B-4A4E-9457-6171B32FD3F2}">
  <dimension ref="A1:F92"/>
  <sheetViews>
    <sheetView zoomScale="156" workbookViewId="0">
      <pane ySplit="2" topLeftCell="A3" activePane="bottomLeft" state="frozen"/>
      <selection pane="bottomLeft" activeCell="G15" sqref="G15"/>
    </sheetView>
  </sheetViews>
  <sheetFormatPr baseColWidth="10" defaultRowHeight="13"/>
  <cols>
    <col min="1" max="1" width="6.6640625" customWidth="1"/>
    <col min="2" max="2" width="22.5" customWidth="1"/>
    <col min="3" max="3" width="10.6640625" customWidth="1"/>
    <col min="4" max="4" width="10.83203125" customWidth="1"/>
    <col min="5" max="16384" width="10.83203125" style="3"/>
  </cols>
  <sheetData>
    <row r="1" spans="1:6" customFormat="1">
      <c r="A1" s="17" t="s">
        <v>57</v>
      </c>
      <c r="B1" s="5" t="s">
        <v>71</v>
      </c>
    </row>
    <row r="2" spans="1:6" customFormat="1">
      <c r="C2">
        <v>2021</v>
      </c>
      <c r="D2">
        <v>2022</v>
      </c>
      <c r="E2">
        <v>2023</v>
      </c>
      <c r="F2">
        <v>2024</v>
      </c>
    </row>
    <row r="3" spans="1:6" customFormat="1">
      <c r="B3" s="27" t="s">
        <v>87</v>
      </c>
      <c r="C3" s="28"/>
      <c r="D3" s="28"/>
      <c r="E3" s="28"/>
      <c r="F3" s="29"/>
    </row>
    <row r="4" spans="1:6" s="7" customFormat="1">
      <c r="A4" s="6"/>
      <c r="B4" s="6" t="s">
        <v>58</v>
      </c>
      <c r="C4" s="7">
        <v>16639.884999999998</v>
      </c>
      <c r="D4" s="7">
        <v>17745.580999999998</v>
      </c>
      <c r="E4" s="7">
        <v>20135.454000000002</v>
      </c>
      <c r="F4" s="7">
        <v>19844.856</v>
      </c>
    </row>
    <row r="5" spans="1:6" s="18" customFormat="1">
      <c r="A5" s="8"/>
      <c r="B5" s="8" t="s">
        <v>72</v>
      </c>
      <c r="C5" s="18">
        <v>0</v>
      </c>
      <c r="D5" s="18">
        <v>0</v>
      </c>
      <c r="E5" s="18">
        <v>2214.5749999999998</v>
      </c>
      <c r="F5" s="18">
        <v>2572.1529999999998</v>
      </c>
    </row>
    <row r="6" spans="1:6" s="18" customFormat="1">
      <c r="A6" s="8"/>
      <c r="B6" s="8" t="s">
        <v>73</v>
      </c>
      <c r="C6" s="18">
        <v>0</v>
      </c>
      <c r="D6" s="18">
        <v>0</v>
      </c>
      <c r="E6" s="18">
        <v>719.83299999999997</v>
      </c>
      <c r="F6" s="18">
        <v>921.42600000000004</v>
      </c>
    </row>
    <row r="7" spans="1:6" s="7" customFormat="1">
      <c r="A7" s="6"/>
      <c r="B7" s="6" t="s">
        <v>74</v>
      </c>
      <c r="C7" s="7">
        <f>C4-SUM(C5:C6)</f>
        <v>16639.884999999998</v>
      </c>
      <c r="D7" s="7">
        <f>D4-SUM(D5:D6)</f>
        <v>17745.580999999998</v>
      </c>
      <c r="E7" s="7">
        <f>E4-SUM(E5:E6)</f>
        <v>17201.046000000002</v>
      </c>
      <c r="F7" s="7">
        <f>F4-SUM(F5:F6)</f>
        <v>16351.277</v>
      </c>
    </row>
    <row r="8" spans="1:6">
      <c r="B8" t="s">
        <v>59</v>
      </c>
      <c r="C8" s="18">
        <v>9592.1419999999998</v>
      </c>
      <c r="D8" s="18">
        <v>9210.4230000000007</v>
      </c>
      <c r="E8" s="18">
        <f>8289.842</f>
        <v>8289.8420000000006</v>
      </c>
      <c r="F8" s="18">
        <v>8432.8760000000002</v>
      </c>
    </row>
    <row r="9" spans="1:6" s="7" customFormat="1">
      <c r="A9" s="6"/>
      <c r="B9" s="6" t="s">
        <v>60</v>
      </c>
      <c r="C9" s="7">
        <f>C7-C8</f>
        <v>7047.7429999999986</v>
      </c>
      <c r="D9" s="7">
        <f>D7-D8</f>
        <v>8535.1579999999976</v>
      </c>
      <c r="E9" s="7">
        <f>E7-E8</f>
        <v>8911.2040000000015</v>
      </c>
      <c r="F9" s="7">
        <f>F7-F8</f>
        <v>7918.4009999999998</v>
      </c>
    </row>
    <row r="10" spans="1:6">
      <c r="B10" t="s">
        <v>61</v>
      </c>
      <c r="C10" s="3">
        <f>5610.351+23.564</f>
        <v>5633.915</v>
      </c>
      <c r="D10" s="3">
        <f>6667.277+57.79</f>
        <v>6725.067</v>
      </c>
      <c r="E10" s="3">
        <v>7394.1540000000005</v>
      </c>
      <c r="F10" s="3">
        <v>7036.7060000000001</v>
      </c>
    </row>
    <row r="11" spans="1:6">
      <c r="B11" t="s">
        <v>65</v>
      </c>
      <c r="C11" s="3">
        <f>C9-C10</f>
        <v>1413.8279999999986</v>
      </c>
      <c r="D11" s="3">
        <f>D9-D10</f>
        <v>1810.0909999999976</v>
      </c>
      <c r="E11" s="3">
        <f>E9-E10</f>
        <v>1517.0500000000011</v>
      </c>
      <c r="F11" s="3">
        <f>F9-F10</f>
        <v>881.69499999999971</v>
      </c>
    </row>
    <row r="12" spans="1:6">
      <c r="B12" t="s">
        <v>62</v>
      </c>
      <c r="C12" s="3">
        <v>0</v>
      </c>
      <c r="D12" s="3">
        <v>0</v>
      </c>
      <c r="E12" s="3">
        <v>2171.3890000000001</v>
      </c>
      <c r="F12" s="3">
        <v>-566.96199999999999</v>
      </c>
    </row>
    <row r="13" spans="1:6">
      <c r="B13" t="s">
        <v>63</v>
      </c>
      <c r="C13" s="3">
        <v>287.416</v>
      </c>
      <c r="D13" s="3">
        <v>109.517</v>
      </c>
      <c r="E13" s="3">
        <v>1235.4780000000001</v>
      </c>
      <c r="F13" s="3">
        <v>1216.3409999999999</v>
      </c>
    </row>
    <row r="14" spans="1:6" s="7" customFormat="1">
      <c r="A14" s="6"/>
      <c r="B14" s="6" t="s">
        <v>64</v>
      </c>
      <c r="C14" s="7">
        <f>C11+C12-C13</f>
        <v>1126.4119999999987</v>
      </c>
      <c r="D14" s="7">
        <f>D11+D12-D13</f>
        <v>1700.5739999999976</v>
      </c>
      <c r="E14" s="7">
        <f t="shared" ref="E14:F14" si="0">E11+E12-E13</f>
        <v>2452.9610000000011</v>
      </c>
      <c r="F14" s="7">
        <f t="shared" si="0"/>
        <v>-901.60800000000017</v>
      </c>
    </row>
    <row r="15" spans="1:6">
      <c r="B15" t="s">
        <v>66</v>
      </c>
      <c r="C15" s="3">
        <v>0.38</v>
      </c>
      <c r="D15" s="3">
        <v>16.146999999999998</v>
      </c>
      <c r="E15" s="3">
        <v>47.222000000000001</v>
      </c>
      <c r="F15" s="3">
        <v>11.742000000000001</v>
      </c>
    </row>
    <row r="16" spans="1:6">
      <c r="B16" t="s">
        <v>67</v>
      </c>
      <c r="C16" s="3">
        <v>98.722999999999999</v>
      </c>
      <c r="D16" s="3">
        <v>119.041</v>
      </c>
      <c r="E16" s="3">
        <v>193.05699999999999</v>
      </c>
      <c r="F16" s="3">
        <v>510.51299999999998</v>
      </c>
    </row>
    <row r="17" spans="1:6">
      <c r="B17" t="s">
        <v>82</v>
      </c>
      <c r="C17" s="3">
        <v>73.254999999999995</v>
      </c>
      <c r="D17" s="18">
        <v>-15.207000000000001</v>
      </c>
      <c r="E17" s="3">
        <v>0</v>
      </c>
      <c r="F17" s="3">
        <v>0</v>
      </c>
    </row>
    <row r="18" spans="1:6" s="7" customFormat="1">
      <c r="A18" s="6"/>
      <c r="B18" s="6" t="s">
        <v>68</v>
      </c>
      <c r="C18" s="7">
        <f>C14+C15-C16+C17</f>
        <v>1101.3239999999987</v>
      </c>
      <c r="D18" s="7">
        <f>D14+D15-D16+D17</f>
        <v>1582.4729999999975</v>
      </c>
      <c r="E18" s="7">
        <f>E14+E15-E16</f>
        <v>2307.1260000000016</v>
      </c>
      <c r="F18" s="7">
        <f>F14+F15-F16</f>
        <v>-1400.3790000000001</v>
      </c>
    </row>
    <row r="19" spans="1:6">
      <c r="B19" t="s">
        <v>69</v>
      </c>
      <c r="C19" s="3">
        <v>-287.48500000000001</v>
      </c>
      <c r="D19" s="3">
        <v>529.44100000000003</v>
      </c>
      <c r="E19" s="3">
        <v>779.77300000000002</v>
      </c>
      <c r="F19" s="3">
        <f>-91.738</f>
        <v>-91.738</v>
      </c>
    </row>
    <row r="20" spans="1:6" s="7" customFormat="1">
      <c r="A20" s="6"/>
      <c r="B20" s="6" t="s">
        <v>70</v>
      </c>
      <c r="C20" s="7">
        <f>C18-C19</f>
        <v>1388.8089999999988</v>
      </c>
      <c r="D20" s="7">
        <f>D18-D19</f>
        <v>1053.0319999999974</v>
      </c>
      <c r="E20" s="7">
        <f>E18-E19</f>
        <v>1527.3530000000014</v>
      </c>
      <c r="F20" s="7">
        <f>F18-F19</f>
        <v>-1308.6410000000001</v>
      </c>
    </row>
    <row r="21" spans="1:6">
      <c r="C21" s="3"/>
      <c r="D21" s="3"/>
    </row>
    <row r="22" spans="1:6">
      <c r="B22" t="s">
        <v>1</v>
      </c>
      <c r="C22" s="3">
        <f>C23*C20*100</f>
        <v>131936.85499999986</v>
      </c>
      <c r="D22" s="3">
        <f>D23*D20*100</f>
        <v>100038.03999999975</v>
      </c>
      <c r="E22" s="3">
        <f>E23*E20*100</f>
        <v>145098.53500000012</v>
      </c>
      <c r="F22" s="3">
        <f>Main!K6</f>
        <v>171520</v>
      </c>
    </row>
    <row r="23" spans="1:6">
      <c r="B23" t="s">
        <v>75</v>
      </c>
      <c r="C23" s="4">
        <v>0.95</v>
      </c>
      <c r="D23" s="4">
        <v>0.95</v>
      </c>
      <c r="E23" s="4">
        <v>0.95</v>
      </c>
      <c r="F23" s="4">
        <f>F20/F22*100</f>
        <v>-0.76296700093283587</v>
      </c>
    </row>
    <row r="24" spans="1:6">
      <c r="C24" s="3"/>
      <c r="D24" s="3"/>
    </row>
    <row r="25" spans="1:6">
      <c r="B25" t="s">
        <v>76</v>
      </c>
      <c r="C25" s="9">
        <f>C9/C4</f>
        <v>0.42354517474129172</v>
      </c>
      <c r="D25" s="9">
        <f>D9/D4</f>
        <v>0.48097371396292959</v>
      </c>
      <c r="E25" s="9">
        <f>E9/E4</f>
        <v>0.4425628545549557</v>
      </c>
      <c r="F25" s="9">
        <f>F9/F4</f>
        <v>0.39901529141859232</v>
      </c>
    </row>
    <row r="26" spans="1:6">
      <c r="B26" t="s">
        <v>77</v>
      </c>
      <c r="C26" s="9">
        <f>C14/C4</f>
        <v>6.7693496679814724E-2</v>
      </c>
      <c r="D26" s="9">
        <f>D14/D4</f>
        <v>9.5830843746395097E-2</v>
      </c>
      <c r="E26" s="9">
        <f>E14/E4</f>
        <v>0.12182297950669506</v>
      </c>
      <c r="F26" s="9">
        <f>F14/F4</f>
        <v>-4.5432831560984883E-2</v>
      </c>
    </row>
    <row r="27" spans="1:6">
      <c r="B27" t="s">
        <v>78</v>
      </c>
      <c r="C27" s="9">
        <f>C20/C4</f>
        <v>8.346265614215477E-2</v>
      </c>
      <c r="D27" s="9">
        <f>D20/D4</f>
        <v>5.9340519760947667E-2</v>
      </c>
      <c r="E27" s="9">
        <f>E20/E4</f>
        <v>7.5853914195329358E-2</v>
      </c>
      <c r="F27" s="9">
        <f>F20/F4</f>
        <v>-6.5943587597712988E-2</v>
      </c>
    </row>
    <row r="28" spans="1:6">
      <c r="C28" s="6"/>
    </row>
    <row r="29" spans="1:6">
      <c r="B29" t="s">
        <v>84</v>
      </c>
      <c r="D29" s="9">
        <f>D4/C4-1</f>
        <v>6.644853615274382E-2</v>
      </c>
      <c r="E29" s="9">
        <f t="shared" ref="E29:F29" si="1">E4/D4-1</f>
        <v>0.13467426059479282</v>
      </c>
      <c r="F29" s="9">
        <f t="shared" si="1"/>
        <v>-1.4432155341518538E-2</v>
      </c>
    </row>
    <row r="30" spans="1:6">
      <c r="B30" t="s">
        <v>85</v>
      </c>
      <c r="D30" s="9">
        <f>D14/C14-1</f>
        <v>0.50972645888005408</v>
      </c>
      <c r="E30" s="9">
        <f t="shared" ref="E30:F30" si="2">E14/D14-1</f>
        <v>0.44243120264099334</v>
      </c>
      <c r="F30" s="9">
        <f t="shared" si="2"/>
        <v>-1.3675590439472947</v>
      </c>
    </row>
    <row r="31" spans="1:6">
      <c r="B31" t="s">
        <v>83</v>
      </c>
      <c r="D31" s="9">
        <f>D20/C20-1</f>
        <v>-0.24177334680290929</v>
      </c>
      <c r="E31" s="9">
        <f t="shared" ref="E31:F31" si="3">E20/D20-1</f>
        <v>0.45043360505664132</v>
      </c>
      <c r="F31" s="9">
        <f t="shared" si="3"/>
        <v>-1.8568032406391966</v>
      </c>
    </row>
    <row r="35" spans="1:6" s="7" customFormat="1">
      <c r="A35" s="6"/>
      <c r="B35" s="30" t="s">
        <v>86</v>
      </c>
      <c r="C35" s="31"/>
      <c r="D35" s="31"/>
      <c r="E35" s="31"/>
      <c r="F35" s="32"/>
    </row>
    <row r="36" spans="1:6">
      <c r="B36" t="s">
        <v>91</v>
      </c>
      <c r="C36" s="3">
        <v>9215</v>
      </c>
      <c r="D36" s="3">
        <v>5801</v>
      </c>
      <c r="E36" s="3">
        <v>1004.3049999999999</v>
      </c>
      <c r="F36" s="3">
        <v>981.96299999999997</v>
      </c>
    </row>
    <row r="37" spans="1:6">
      <c r="B37" t="s">
        <v>88</v>
      </c>
      <c r="C37" s="3">
        <v>12579</v>
      </c>
      <c r="D37" s="3">
        <v>15394</v>
      </c>
      <c r="E37" s="3">
        <v>22581.263999999999</v>
      </c>
      <c r="F37" s="3">
        <v>26557.669000000002</v>
      </c>
    </row>
    <row r="38" spans="1:6">
      <c r="B38" t="s">
        <v>90</v>
      </c>
      <c r="C38" s="3">
        <v>1309</v>
      </c>
      <c r="D38" s="3">
        <v>2695</v>
      </c>
      <c r="E38" s="3">
        <v>3593.348</v>
      </c>
      <c r="F38" s="3">
        <v>4004.5230000000001</v>
      </c>
    </row>
    <row r="39" spans="1:6" s="7" customFormat="1">
      <c r="A39" s="6"/>
      <c r="B39" s="6" t="s">
        <v>94</v>
      </c>
      <c r="C39" s="7">
        <f>SUM(C36:C38)</f>
        <v>23103</v>
      </c>
      <c r="D39" s="7">
        <f>SUM(D36:D38)</f>
        <v>23890</v>
      </c>
      <c r="E39" s="7">
        <f>SUM(E36:E38)</f>
        <v>27178.917000000001</v>
      </c>
      <c r="F39" s="7">
        <f>SUM(F36:F38)</f>
        <v>31544.155000000002</v>
      </c>
    </row>
    <row r="40" spans="1:6">
      <c r="B40" t="s">
        <v>95</v>
      </c>
      <c r="C40" s="3">
        <v>117</v>
      </c>
      <c r="D40" s="3">
        <v>79</v>
      </c>
      <c r="E40" s="3">
        <v>41.802999999999997</v>
      </c>
      <c r="F40" s="3">
        <v>18.303000000000001</v>
      </c>
    </row>
    <row r="41" spans="1:6">
      <c r="B41" t="s">
        <v>96</v>
      </c>
      <c r="C41" s="3">
        <v>14578</v>
      </c>
      <c r="D41" s="3">
        <v>15850</v>
      </c>
      <c r="E41" s="3">
        <v>23898.348000000002</v>
      </c>
      <c r="F41" s="3">
        <v>26803.183000000001</v>
      </c>
    </row>
    <row r="42" spans="1:6" s="18" customFormat="1">
      <c r="A42" s="8"/>
      <c r="B42" s="8" t="s">
        <v>115</v>
      </c>
      <c r="C42" s="18">
        <f>SUM(C40:C41)</f>
        <v>14695</v>
      </c>
      <c r="D42" s="18">
        <f>SUM(D40:D41)</f>
        <v>15929</v>
      </c>
      <c r="E42" s="18">
        <f>SUM(E40:E41)</f>
        <v>23940.151000000002</v>
      </c>
      <c r="F42" s="18">
        <f>SUM(F40:F41)</f>
        <v>26821.486000000001</v>
      </c>
    </row>
    <row r="43" spans="1:6" s="7" customFormat="1">
      <c r="A43" s="6"/>
      <c r="B43" s="6" t="s">
        <v>98</v>
      </c>
      <c r="C43" s="7">
        <f>C42+C39</f>
        <v>37798</v>
      </c>
      <c r="D43" s="7">
        <f>D42+D39</f>
        <v>39819</v>
      </c>
      <c r="E43" s="7">
        <f>E42+E39</f>
        <v>51119.067999999999</v>
      </c>
      <c r="F43" s="7">
        <f>F42+F39</f>
        <v>58365.641000000003</v>
      </c>
    </row>
    <row r="44" spans="1:6">
      <c r="C44" s="3"/>
      <c r="D44" s="3"/>
    </row>
    <row r="45" spans="1:6">
      <c r="B45" t="s">
        <v>100</v>
      </c>
      <c r="C45" s="3">
        <v>4200</v>
      </c>
      <c r="D45" s="3">
        <v>4755</v>
      </c>
      <c r="E45" s="3">
        <v>2240.748</v>
      </c>
      <c r="F45" s="3">
        <v>9975.6830000000009</v>
      </c>
    </row>
    <row r="46" spans="1:6">
      <c r="B46" t="s">
        <v>101</v>
      </c>
      <c r="C46" s="3">
        <v>0</v>
      </c>
      <c r="D46" s="3">
        <v>0</v>
      </c>
      <c r="E46" s="3">
        <v>5748.5709999999999</v>
      </c>
      <c r="F46" s="3">
        <v>5044.2839999999997</v>
      </c>
    </row>
    <row r="47" spans="1:6">
      <c r="B47" t="s">
        <v>105</v>
      </c>
      <c r="C47" s="3">
        <v>0</v>
      </c>
      <c r="D47" s="3">
        <v>0</v>
      </c>
      <c r="E47" s="3">
        <v>430.65499999999997</v>
      </c>
      <c r="F47" s="3">
        <v>376.45</v>
      </c>
    </row>
    <row r="48" spans="1:6" s="7" customFormat="1">
      <c r="A48" s="6"/>
      <c r="B48" s="6" t="s">
        <v>106</v>
      </c>
      <c r="C48" s="7">
        <f>SUM(C45:C47)</f>
        <v>4200</v>
      </c>
      <c r="D48" s="7">
        <f>SUM(D45:D47)</f>
        <v>4755</v>
      </c>
      <c r="E48" s="7">
        <f>SUM(E45:E47)</f>
        <v>8419.9740000000002</v>
      </c>
      <c r="F48" s="7">
        <f>SUM(F45:F47)</f>
        <v>15396.417000000001</v>
      </c>
    </row>
    <row r="49" spans="1:6">
      <c r="B49" t="s">
        <v>107</v>
      </c>
      <c r="C49" s="3">
        <v>2482</v>
      </c>
      <c r="D49" s="3">
        <v>2089</v>
      </c>
      <c r="E49" s="3">
        <v>0</v>
      </c>
      <c r="F49" s="3">
        <v>0</v>
      </c>
    </row>
    <row r="50" spans="1:6">
      <c r="B50" t="s">
        <v>110</v>
      </c>
      <c r="C50" s="3">
        <v>0</v>
      </c>
      <c r="D50" s="3">
        <v>0</v>
      </c>
      <c r="E50" s="3">
        <v>22.63</v>
      </c>
      <c r="F50" s="3">
        <v>0</v>
      </c>
    </row>
    <row r="51" spans="1:6">
      <c r="B51" t="s">
        <v>104</v>
      </c>
      <c r="C51" s="3">
        <v>0</v>
      </c>
      <c r="D51" s="3">
        <v>0</v>
      </c>
      <c r="E51" s="3">
        <v>7457.14</v>
      </c>
      <c r="F51" s="3">
        <v>9225.616</v>
      </c>
    </row>
    <row r="52" spans="1:6">
      <c r="B52" t="s">
        <v>111</v>
      </c>
      <c r="C52" s="3">
        <v>0</v>
      </c>
      <c r="D52" s="3">
        <v>528</v>
      </c>
      <c r="E52" s="3">
        <v>893.39700000000005</v>
      </c>
      <c r="F52" s="3">
        <v>1092.0129999999999</v>
      </c>
    </row>
    <row r="53" spans="1:6" s="18" customFormat="1">
      <c r="A53" s="8"/>
      <c r="B53" s="8" t="s">
        <v>114</v>
      </c>
      <c r="C53" s="18">
        <f>SUM(C49:C52)</f>
        <v>2482</v>
      </c>
      <c r="D53" s="18">
        <f>SUM(D49:D52)</f>
        <v>2617</v>
      </c>
      <c r="E53" s="18">
        <f>SUM(E49:E52)</f>
        <v>8373.1670000000013</v>
      </c>
      <c r="F53" s="18">
        <f>SUM(F49:F52)</f>
        <v>10317.629000000001</v>
      </c>
    </row>
    <row r="54" spans="1:6" s="7" customFormat="1">
      <c r="A54" s="6"/>
      <c r="B54" s="6" t="s">
        <v>112</v>
      </c>
      <c r="C54" s="7">
        <f>C53+C48</f>
        <v>6682</v>
      </c>
      <c r="D54" s="7">
        <f>D53+D48</f>
        <v>7372</v>
      </c>
      <c r="E54" s="7">
        <f>E53+E48</f>
        <v>16793.141000000003</v>
      </c>
      <c r="F54" s="7">
        <f>F53+F48</f>
        <v>25714.046000000002</v>
      </c>
    </row>
    <row r="55" spans="1:6">
      <c r="C55" s="3"/>
      <c r="D55" s="3"/>
    </row>
    <row r="56" spans="1:6">
      <c r="B56" t="s">
        <v>116</v>
      </c>
      <c r="C56" s="3">
        <f>C43-C54</f>
        <v>31116</v>
      </c>
      <c r="D56" s="3">
        <f>D43-D54</f>
        <v>32447</v>
      </c>
      <c r="E56" s="3">
        <f>E43-E54</f>
        <v>34325.926999999996</v>
      </c>
      <c r="F56" s="3">
        <f>F43-F54</f>
        <v>32651.595000000001</v>
      </c>
    </row>
    <row r="57" spans="1:6">
      <c r="B57" t="s">
        <v>113</v>
      </c>
      <c r="C57" s="3">
        <f>C56+C54</f>
        <v>37798</v>
      </c>
      <c r="D57" s="3">
        <f>D56+D54</f>
        <v>39819</v>
      </c>
      <c r="E57" s="3">
        <f>E56+E54</f>
        <v>51119.067999999999</v>
      </c>
      <c r="F57" s="3">
        <f>F56+F54</f>
        <v>58365.641000000003</v>
      </c>
    </row>
    <row r="60" spans="1:6">
      <c r="B60" t="s">
        <v>117</v>
      </c>
      <c r="D60" s="9">
        <f>D43/C43-1</f>
        <v>5.3468437483464637E-2</v>
      </c>
      <c r="E60" s="9">
        <f t="shared" ref="E60:F60" si="4">E43/D43-1</f>
        <v>0.2837858308847534</v>
      </c>
      <c r="F60" s="9">
        <f t="shared" si="4"/>
        <v>0.14175870733793516</v>
      </c>
    </row>
    <row r="61" spans="1:6">
      <c r="B61" t="s">
        <v>118</v>
      </c>
      <c r="D61" s="9">
        <f>D39/C39-1</f>
        <v>3.4064840064060853E-2</v>
      </c>
      <c r="E61" s="9">
        <f t="shared" ref="E61:F61" si="5">E39/D39-1</f>
        <v>0.13766919213059858</v>
      </c>
      <c r="F61" s="9">
        <f t="shared" si="5"/>
        <v>0.16061118255742124</v>
      </c>
    </row>
    <row r="62" spans="1:6">
      <c r="B62" t="s">
        <v>119</v>
      </c>
      <c r="D62" s="9">
        <f>D42/C42-1</f>
        <v>8.3974140864239599E-2</v>
      </c>
      <c r="E62" s="9">
        <f t="shared" ref="E62:F62" si="6">E42/D42-1</f>
        <v>0.50292868353317854</v>
      </c>
      <c r="F62" s="9">
        <f t="shared" si="6"/>
        <v>0.12035575715458102</v>
      </c>
    </row>
    <row r="64" spans="1:6">
      <c r="B64" t="s">
        <v>120</v>
      </c>
      <c r="D64" s="9">
        <f>D54/C54-1</f>
        <v>0.10326249625860529</v>
      </c>
      <c r="E64" s="9">
        <f t="shared" ref="E64:F64" si="7">E54/D54-1</f>
        <v>1.2779626966901794</v>
      </c>
      <c r="F64" s="9">
        <f t="shared" si="7"/>
        <v>0.53122313449282643</v>
      </c>
    </row>
    <row r="65" spans="1:6">
      <c r="B65" t="s">
        <v>121</v>
      </c>
      <c r="D65" s="9">
        <f>D48/C48-1</f>
        <v>0.13214285714285712</v>
      </c>
      <c r="E65" s="9">
        <f t="shared" ref="E65:F65" si="8">E48/D48-1</f>
        <v>0.77076214511041008</v>
      </c>
      <c r="F65" s="9">
        <f t="shared" si="8"/>
        <v>0.82855873426687543</v>
      </c>
    </row>
    <row r="66" spans="1:6">
      <c r="B66" t="s">
        <v>122</v>
      </c>
      <c r="D66" s="9">
        <f>D53/C53-1</f>
        <v>5.4391619661563251E-2</v>
      </c>
      <c r="E66" s="9">
        <f t="shared" ref="E66:F66" si="9">E53/D53-1</f>
        <v>2.1995288498280479</v>
      </c>
      <c r="F66" s="9">
        <f t="shared" si="9"/>
        <v>0.23222539333086267</v>
      </c>
    </row>
    <row r="68" spans="1:6">
      <c r="B68" t="s">
        <v>123</v>
      </c>
      <c r="D68" s="9">
        <f t="shared" ref="D68:E68" si="10">D56/C56-1</f>
        <v>4.2775421005270653E-2</v>
      </c>
      <c r="E68" s="9">
        <f t="shared" si="10"/>
        <v>5.7907572348753211E-2</v>
      </c>
      <c r="F68" s="9">
        <f>F56/E56-1</f>
        <v>-4.8777473657157011E-2</v>
      </c>
    </row>
    <row r="70" spans="1:6">
      <c r="B70" t="s">
        <v>124</v>
      </c>
      <c r="C70" s="2">
        <f>C39/C48</f>
        <v>5.5007142857142854</v>
      </c>
      <c r="D70" s="2">
        <f t="shared" ref="D70:F70" si="11">D39/D48</f>
        <v>5.0241850683491061</v>
      </c>
      <c r="E70" s="2">
        <f t="shared" si="11"/>
        <v>3.2279098486527396</v>
      </c>
      <c r="F70" s="2">
        <f t="shared" si="11"/>
        <v>2.04879843147922</v>
      </c>
    </row>
    <row r="74" spans="1:6">
      <c r="B74" s="27" t="s">
        <v>144</v>
      </c>
      <c r="C74" s="28"/>
      <c r="D74" s="28"/>
      <c r="E74" s="28"/>
      <c r="F74" s="29"/>
    </row>
    <row r="75" spans="1:6">
      <c r="B75" s="8" t="s">
        <v>148</v>
      </c>
      <c r="C75" s="18">
        <v>1078</v>
      </c>
      <c r="D75" s="18">
        <v>1053</v>
      </c>
      <c r="E75" s="18">
        <v>2307</v>
      </c>
      <c r="F75" s="18">
        <v>-1400</v>
      </c>
    </row>
    <row r="76" spans="1:6">
      <c r="B76" s="8" t="s">
        <v>155</v>
      </c>
      <c r="C76" s="8">
        <v>595</v>
      </c>
      <c r="D76" s="18">
        <v>1623</v>
      </c>
      <c r="E76" s="18">
        <v>-1608</v>
      </c>
      <c r="F76" s="18">
        <v>1444</v>
      </c>
    </row>
    <row r="77" spans="1:6">
      <c r="B77" s="8" t="s">
        <v>145</v>
      </c>
      <c r="C77" s="8">
        <v>-234</v>
      </c>
      <c r="D77" s="18">
        <v>-3791</v>
      </c>
      <c r="E77" s="18">
        <v>-2743</v>
      </c>
      <c r="F77" s="18">
        <v>-3838</v>
      </c>
    </row>
    <row r="78" spans="1:6" s="7" customFormat="1">
      <c r="A78" s="6"/>
      <c r="B78" s="6" t="s">
        <v>149</v>
      </c>
      <c r="C78" s="7">
        <v>1439</v>
      </c>
      <c r="D78" s="7">
        <v>-1115</v>
      </c>
      <c r="E78" s="7">
        <v>-1911</v>
      </c>
      <c r="F78" s="7">
        <v>-3794</v>
      </c>
    </row>
    <row r="79" spans="1:6" s="7" customFormat="1">
      <c r="A79" s="6"/>
      <c r="B79" s="6" t="s">
        <v>146</v>
      </c>
      <c r="C79" s="7">
        <v>-1104</v>
      </c>
      <c r="D79" s="7">
        <v>-2122</v>
      </c>
      <c r="E79" s="7">
        <v>-1817</v>
      </c>
      <c r="F79" s="7">
        <v>-2473</v>
      </c>
    </row>
    <row r="80" spans="1:6" s="7" customFormat="1">
      <c r="A80" s="6"/>
      <c r="B80" s="6" t="s">
        <v>150</v>
      </c>
      <c r="C80" s="6">
        <v>335</v>
      </c>
      <c r="D80" s="7">
        <v>-3237</v>
      </c>
      <c r="E80" s="7">
        <v>-3728</v>
      </c>
      <c r="F80" s="7">
        <v>-6267</v>
      </c>
    </row>
    <row r="81" spans="2:6">
      <c r="B81" s="8" t="s">
        <v>150</v>
      </c>
      <c r="C81" s="18">
        <v>4022</v>
      </c>
      <c r="D81" s="8">
        <v>-193</v>
      </c>
      <c r="E81" s="18">
        <v>-1126</v>
      </c>
      <c r="F81" s="18">
        <v>6233</v>
      </c>
    </row>
    <row r="82" spans="2:6">
      <c r="B82" s="8" t="s">
        <v>147</v>
      </c>
      <c r="C82" s="18">
        <v>4355</v>
      </c>
      <c r="D82" s="18">
        <v>-3414</v>
      </c>
      <c r="E82" s="18">
        <v>-4796</v>
      </c>
      <c r="F82" s="8">
        <v>-22</v>
      </c>
    </row>
    <row r="84" spans="2:6">
      <c r="B84" t="s">
        <v>156</v>
      </c>
      <c r="D84" s="9">
        <f>C78/D78-1</f>
        <v>-2.2905829596412559</v>
      </c>
      <c r="E84" s="9">
        <f>E78/C78-1</f>
        <v>-2.328005559416261</v>
      </c>
      <c r="F84" s="9">
        <f>F78/E78-1</f>
        <v>0.9853479853479854</v>
      </c>
    </row>
    <row r="85" spans="2:6">
      <c r="B85" t="s">
        <v>157</v>
      </c>
      <c r="D85" s="9">
        <f>C80/D80-1</f>
        <v>-1.1034908866234168</v>
      </c>
      <c r="E85" s="9">
        <f>E80/C80-1</f>
        <v>-12.128358208955223</v>
      </c>
      <c r="F85" s="9">
        <f t="shared" ref="F85" si="12">F80/E80-1</f>
        <v>0.68106223175965663</v>
      </c>
    </row>
    <row r="87" spans="2:6">
      <c r="B87" s="5" t="s">
        <v>162</v>
      </c>
    </row>
    <row r="88" spans="2:6">
      <c r="B88" s="23" t="s">
        <v>163</v>
      </c>
    </row>
    <row r="89" spans="2:6">
      <c r="B89" s="5" t="s">
        <v>158</v>
      </c>
    </row>
    <row r="90" spans="2:6">
      <c r="B90" s="22" t="s">
        <v>159</v>
      </c>
    </row>
    <row r="91" spans="2:6">
      <c r="B91" t="s">
        <v>160</v>
      </c>
    </row>
    <row r="92" spans="2:6">
      <c r="B92" t="s">
        <v>161</v>
      </c>
    </row>
  </sheetData>
  <mergeCells count="3">
    <mergeCell ref="B3:F3"/>
    <mergeCell ref="B35:F35"/>
    <mergeCell ref="B74:F74"/>
  </mergeCells>
  <hyperlinks>
    <hyperlink ref="A1" location="Main!A1" display="Main" xr:uid="{57F4C766-BC37-604C-BD7B-6400956837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7B8C-9BF6-3745-8C7B-319592E2BC8A}">
  <dimension ref="A2:C17"/>
  <sheetViews>
    <sheetView zoomScale="179" workbookViewId="0">
      <selection activeCell="C20" sqref="C20"/>
    </sheetView>
  </sheetViews>
  <sheetFormatPr baseColWidth="10" defaultRowHeight="13"/>
  <cols>
    <col min="2" max="2" width="19.33203125" customWidth="1"/>
  </cols>
  <sheetData>
    <row r="2" spans="1:3">
      <c r="A2">
        <v>1</v>
      </c>
      <c r="B2" t="s">
        <v>72</v>
      </c>
      <c r="C2" t="s">
        <v>79</v>
      </c>
    </row>
    <row r="3" spans="1:3">
      <c r="A3">
        <v>2</v>
      </c>
      <c r="B3" t="s">
        <v>73</v>
      </c>
      <c r="C3" t="s">
        <v>80</v>
      </c>
    </row>
    <row r="4" spans="1:3">
      <c r="A4">
        <v>3</v>
      </c>
      <c r="B4" t="s">
        <v>61</v>
      </c>
      <c r="C4" t="s">
        <v>81</v>
      </c>
    </row>
    <row r="5" spans="1:3">
      <c r="A5">
        <v>4</v>
      </c>
      <c r="B5" t="s">
        <v>62</v>
      </c>
      <c r="C5" t="s">
        <v>103</v>
      </c>
    </row>
    <row r="6" spans="1:3">
      <c r="A6">
        <v>5</v>
      </c>
      <c r="B6" t="s">
        <v>88</v>
      </c>
      <c r="C6" t="s">
        <v>89</v>
      </c>
    </row>
    <row r="7" spans="1:3">
      <c r="A7">
        <v>6</v>
      </c>
      <c r="B7" t="s">
        <v>91</v>
      </c>
      <c r="C7" t="s">
        <v>92</v>
      </c>
    </row>
    <row r="8" spans="1:3">
      <c r="A8">
        <v>7</v>
      </c>
      <c r="B8" t="s">
        <v>90</v>
      </c>
      <c r="C8" t="s">
        <v>93</v>
      </c>
    </row>
    <row r="9" spans="1:3">
      <c r="A9">
        <v>8</v>
      </c>
      <c r="B9" t="s">
        <v>96</v>
      </c>
      <c r="C9" t="s">
        <v>97</v>
      </c>
    </row>
    <row r="10" spans="1:3">
      <c r="A10">
        <v>9</v>
      </c>
      <c r="B10" t="s">
        <v>99</v>
      </c>
      <c r="C10" t="s">
        <v>109</v>
      </c>
    </row>
    <row r="11" spans="1:3">
      <c r="A11">
        <v>10</v>
      </c>
      <c r="B11" t="s">
        <v>101</v>
      </c>
      <c r="C11" t="s">
        <v>102</v>
      </c>
    </row>
    <row r="12" spans="1:3">
      <c r="A12">
        <v>11</v>
      </c>
      <c r="B12" t="s">
        <v>107</v>
      </c>
      <c r="C12" t="s">
        <v>108</v>
      </c>
    </row>
    <row r="13" spans="1:3">
      <c r="A13">
        <v>12</v>
      </c>
      <c r="B13" t="s">
        <v>128</v>
      </c>
      <c r="C13" t="s">
        <v>130</v>
      </c>
    </row>
    <row r="14" spans="1:3">
      <c r="A14">
        <v>13</v>
      </c>
      <c r="B14" t="s">
        <v>129</v>
      </c>
      <c r="C14" t="s">
        <v>164</v>
      </c>
    </row>
    <row r="15" spans="1:3">
      <c r="A15">
        <v>14</v>
      </c>
      <c r="B15" t="s">
        <v>149</v>
      </c>
      <c r="C15" t="s">
        <v>151</v>
      </c>
    </row>
    <row r="16" spans="1:3">
      <c r="A16">
        <v>15</v>
      </c>
      <c r="B16" t="s">
        <v>150</v>
      </c>
      <c r="C16" t="s">
        <v>152</v>
      </c>
    </row>
    <row r="17" spans="1:3">
      <c r="A17">
        <v>16</v>
      </c>
      <c r="B17" t="s">
        <v>153</v>
      </c>
      <c r="C1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Parkhomenko</dc:creator>
  <cp:lastModifiedBy>Dmytro Parkhomenko</cp:lastModifiedBy>
  <dcterms:created xsi:type="dcterms:W3CDTF">2026-02-06T02:03:49Z</dcterms:created>
  <dcterms:modified xsi:type="dcterms:W3CDTF">2026-02-25T10:24:38Z</dcterms:modified>
</cp:coreProperties>
</file>