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a87f973740ffce/Documents/Personal/Finance/Models/"/>
    </mc:Choice>
  </mc:AlternateContent>
  <xr:revisionPtr revIDLastSave="669" documentId="8_{ED267F20-D94D-D94E-943C-F0483419986F}" xr6:coauthVersionLast="47" xr6:coauthVersionMax="47" xr10:uidLastSave="{D763FB32-101B-0B49-97E0-974120DAE300}"/>
  <bookViews>
    <workbookView xWindow="0" yWindow="680" windowWidth="30240" windowHeight="17860" activeTab="1" xr2:uid="{2D24E3F0-5AC2-084A-A5AB-A55EC1353B84}"/>
  </bookViews>
  <sheets>
    <sheet name="Main" sheetId="3" r:id="rId1"/>
    <sheet name="Model" sheetId="4" r:id="rId2"/>
    <sheet name="WACC" sheetId="6" r:id="rId3"/>
    <sheet name="Charts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4" l="1"/>
  <c r="M10" i="4"/>
  <c r="L10" i="4"/>
  <c r="K10" i="4"/>
  <c r="J10" i="4"/>
  <c r="I10" i="4"/>
  <c r="C16" i="6"/>
  <c r="K25" i="3"/>
  <c r="K23" i="3"/>
  <c r="K22" i="3"/>
  <c r="G60" i="4"/>
  <c r="G59" i="4"/>
  <c r="G57" i="4"/>
  <c r="G56" i="4"/>
  <c r="G55" i="4"/>
  <c r="G54" i="4"/>
  <c r="G52" i="4"/>
  <c r="G49" i="4"/>
  <c r="G48" i="4"/>
  <c r="G47" i="4"/>
  <c r="G45" i="4"/>
  <c r="G44" i="4"/>
  <c r="G43" i="4"/>
  <c r="G41" i="4"/>
  <c r="H47" i="4"/>
  <c r="H56" i="4"/>
  <c r="H52" i="4"/>
  <c r="H57" i="4" s="1"/>
  <c r="H44" i="4"/>
  <c r="H43" i="4"/>
  <c r="H42" i="4"/>
  <c r="H41" i="4"/>
  <c r="H49" i="4" s="1"/>
  <c r="I3" i="4"/>
  <c r="I20" i="4" s="1"/>
  <c r="I24" i="4" s="1"/>
  <c r="H59" i="4" l="1"/>
  <c r="H60" i="4" s="1"/>
  <c r="J3" i="4"/>
  <c r="C23" i="4"/>
  <c r="C24" i="4" s="1"/>
  <c r="D24" i="4"/>
  <c r="D36" i="4" s="1"/>
  <c r="E23" i="4"/>
  <c r="F23" i="4"/>
  <c r="E22" i="4"/>
  <c r="E24" i="4" s="1"/>
  <c r="F22" i="4"/>
  <c r="F24" i="4" s="1"/>
  <c r="F36" i="4" s="1"/>
  <c r="G24" i="4"/>
  <c r="H22" i="4"/>
  <c r="H24" i="4" s="1"/>
  <c r="K29" i="3"/>
  <c r="K30" i="3" s="1"/>
  <c r="K31" i="3" s="1"/>
  <c r="K26" i="3"/>
  <c r="K27" i="3" s="1"/>
  <c r="K3" i="4" l="1"/>
  <c r="J20" i="4"/>
  <c r="J24" i="4" s="1"/>
  <c r="H36" i="4"/>
  <c r="J36" i="4" s="1"/>
  <c r="E36" i="4"/>
  <c r="G36" i="4"/>
  <c r="C9" i="6"/>
  <c r="C17" i="6"/>
  <c r="K36" i="4" l="1"/>
  <c r="L3" i="4"/>
  <c r="K20" i="4"/>
  <c r="K24" i="4" s="1"/>
  <c r="C5" i="6"/>
  <c r="M3" i="4" l="1"/>
  <c r="L20" i="4"/>
  <c r="L24" i="4" s="1"/>
  <c r="C12" i="6"/>
  <c r="M20" i="4" l="1"/>
  <c r="M24" i="4" s="1"/>
  <c r="N3" i="4"/>
  <c r="N33" i="4"/>
  <c r="N30" i="4"/>
  <c r="N8" i="1"/>
  <c r="N6" i="1"/>
  <c r="N5" i="1"/>
  <c r="N3" i="1"/>
  <c r="N2" i="1"/>
  <c r="K8" i="1"/>
  <c r="K7" i="1"/>
  <c r="K6" i="1"/>
  <c r="K4" i="1"/>
  <c r="K3" i="1"/>
  <c r="K2" i="1"/>
  <c r="D32" i="4"/>
  <c r="E32" i="4"/>
  <c r="C5" i="4"/>
  <c r="C10" i="4" s="1"/>
  <c r="C15" i="4" s="1"/>
  <c r="C18" i="4" s="1"/>
  <c r="C20" i="4" s="1"/>
  <c r="C29" i="4" s="1"/>
  <c r="D5" i="4"/>
  <c r="D10" i="4" s="1"/>
  <c r="D15" i="4" s="1"/>
  <c r="D18" i="4" s="1"/>
  <c r="D20" i="4" s="1"/>
  <c r="G32" i="4"/>
  <c r="H32" i="4"/>
  <c r="F32" i="4"/>
  <c r="E5" i="4"/>
  <c r="E10" i="4" s="1"/>
  <c r="E15" i="4" s="1"/>
  <c r="E18" i="4" s="1"/>
  <c r="E20" i="4" s="1"/>
  <c r="E29" i="4" s="1"/>
  <c r="F5" i="4"/>
  <c r="F10" i="4" s="1"/>
  <c r="F15" i="4" s="1"/>
  <c r="F18" i="4" s="1"/>
  <c r="F20" i="4" s="1"/>
  <c r="F29" i="4" s="1"/>
  <c r="H5" i="4"/>
  <c r="H10" i="4" s="1"/>
  <c r="H15" i="4" s="1"/>
  <c r="G5" i="4"/>
  <c r="G10" i="4" s="1"/>
  <c r="G15" i="4" s="1"/>
  <c r="G18" i="4" s="1"/>
  <c r="G20" i="4" s="1"/>
  <c r="K7" i="3"/>
  <c r="C13" i="6" s="1"/>
  <c r="K5" i="3"/>
  <c r="N20" i="4" l="1"/>
  <c r="N24" i="4" s="1"/>
  <c r="O24" i="4" s="1"/>
  <c r="K32" i="4"/>
  <c r="G34" i="4"/>
  <c r="K8" i="3"/>
  <c r="K14" i="3" s="1"/>
  <c r="K32" i="3"/>
  <c r="H18" i="4"/>
  <c r="H20" i="4" s="1"/>
  <c r="C14" i="6"/>
  <c r="C11" i="6" s="1"/>
  <c r="C3" i="6" s="1"/>
  <c r="N28" i="4" s="1"/>
  <c r="J32" i="4"/>
  <c r="D27" i="4"/>
  <c r="K13" i="3"/>
  <c r="C28" i="4"/>
  <c r="C27" i="4"/>
  <c r="G33" i="4"/>
  <c r="G28" i="4"/>
  <c r="G27" i="4"/>
  <c r="D34" i="4"/>
  <c r="D29" i="4"/>
  <c r="D33" i="4"/>
  <c r="E34" i="4"/>
  <c r="E33" i="4"/>
  <c r="D28" i="4"/>
  <c r="H27" i="4"/>
  <c r="F33" i="4"/>
  <c r="F34" i="4"/>
  <c r="F27" i="4"/>
  <c r="F28" i="4"/>
  <c r="G29" i="4"/>
  <c r="H28" i="4"/>
  <c r="E28" i="4"/>
  <c r="H33" i="4"/>
  <c r="E27" i="4"/>
  <c r="K15" i="3"/>
  <c r="P24" i="4" l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EG24" i="4" s="1"/>
  <c r="EH24" i="4" s="1"/>
  <c r="EI24" i="4" s="1"/>
  <c r="EJ24" i="4" s="1"/>
  <c r="EK24" i="4" s="1"/>
  <c r="EL24" i="4" s="1"/>
  <c r="EM24" i="4" s="1"/>
  <c r="EN24" i="4" s="1"/>
  <c r="EO24" i="4" s="1"/>
  <c r="EP24" i="4" s="1"/>
  <c r="EQ24" i="4" s="1"/>
  <c r="ER24" i="4" s="1"/>
  <c r="ES24" i="4" s="1"/>
  <c r="ET24" i="4" s="1"/>
  <c r="EU24" i="4" s="1"/>
  <c r="EV24" i="4" s="1"/>
  <c r="EW24" i="4" s="1"/>
  <c r="EX24" i="4" s="1"/>
  <c r="EY24" i="4" s="1"/>
  <c r="EZ24" i="4" s="1"/>
  <c r="FA24" i="4" s="1"/>
  <c r="FB24" i="4" s="1"/>
  <c r="FC24" i="4" s="1"/>
  <c r="FD24" i="4" s="1"/>
  <c r="FE24" i="4" s="1"/>
  <c r="FF24" i="4" s="1"/>
  <c r="FG24" i="4" s="1"/>
  <c r="FH24" i="4" s="1"/>
  <c r="FI24" i="4" s="1"/>
  <c r="FJ24" i="4" s="1"/>
  <c r="FK24" i="4" s="1"/>
  <c r="FL24" i="4" s="1"/>
  <c r="FM24" i="4" s="1"/>
  <c r="FN24" i="4" s="1"/>
  <c r="FO24" i="4" s="1"/>
  <c r="FP24" i="4" s="1"/>
  <c r="FQ24" i="4" s="1"/>
  <c r="FR24" i="4" s="1"/>
  <c r="FS24" i="4" s="1"/>
  <c r="FT24" i="4" s="1"/>
  <c r="FU24" i="4" s="1"/>
  <c r="FV24" i="4" s="1"/>
  <c r="FW24" i="4" s="1"/>
  <c r="FX24" i="4" s="1"/>
  <c r="FY24" i="4" s="1"/>
  <c r="FZ24" i="4" s="1"/>
  <c r="GA24" i="4" s="1"/>
  <c r="GB24" i="4" s="1"/>
  <c r="GC24" i="4" s="1"/>
  <c r="GD24" i="4" s="1"/>
  <c r="GE24" i="4" s="1"/>
  <c r="GF24" i="4" s="1"/>
  <c r="GG24" i="4" s="1"/>
  <c r="GH24" i="4" s="1"/>
  <c r="GI24" i="4" s="1"/>
  <c r="GJ24" i="4" s="1"/>
  <c r="GK24" i="4" s="1"/>
  <c r="GL24" i="4" s="1"/>
  <c r="GM24" i="4" s="1"/>
  <c r="GN24" i="4" s="1"/>
  <c r="GO24" i="4" s="1"/>
  <c r="GP24" i="4" s="1"/>
  <c r="GQ24" i="4" s="1"/>
  <c r="GR24" i="4" s="1"/>
  <c r="GS24" i="4" s="1"/>
  <c r="GT24" i="4" s="1"/>
  <c r="GU24" i="4" s="1"/>
  <c r="GV24" i="4" s="1"/>
  <c r="GW24" i="4" s="1"/>
  <c r="GX24" i="4" s="1"/>
  <c r="GY24" i="4" s="1"/>
  <c r="GZ24" i="4" s="1"/>
  <c r="HA24" i="4" s="1"/>
  <c r="HB24" i="4" s="1"/>
  <c r="HC24" i="4" s="1"/>
  <c r="HD24" i="4" s="1"/>
  <c r="HE24" i="4" s="1"/>
  <c r="HF24" i="4" s="1"/>
  <c r="HG24" i="4" s="1"/>
  <c r="HH24" i="4" s="1"/>
  <c r="HI24" i="4" s="1"/>
  <c r="HJ24" i="4" s="1"/>
  <c r="HK24" i="4" s="1"/>
  <c r="HL24" i="4" s="1"/>
  <c r="HM24" i="4" s="1"/>
  <c r="HN24" i="4" s="1"/>
  <c r="HO24" i="4" s="1"/>
  <c r="HP24" i="4" s="1"/>
  <c r="HQ24" i="4" s="1"/>
  <c r="HR24" i="4" s="1"/>
  <c r="HS24" i="4" s="1"/>
  <c r="HT24" i="4" s="1"/>
  <c r="HU24" i="4" s="1"/>
  <c r="HV24" i="4" s="1"/>
  <c r="HW24" i="4" s="1"/>
  <c r="HX24" i="4" s="1"/>
  <c r="HY24" i="4" s="1"/>
  <c r="HZ24" i="4" s="1"/>
  <c r="IA24" i="4" s="1"/>
  <c r="IB24" i="4" s="1"/>
  <c r="IC24" i="4" s="1"/>
  <c r="ID24" i="4" s="1"/>
  <c r="IE24" i="4" s="1"/>
  <c r="IF24" i="4" s="1"/>
  <c r="IG24" i="4" s="1"/>
  <c r="IH24" i="4" s="1"/>
  <c r="II24" i="4" s="1"/>
  <c r="IJ24" i="4" s="1"/>
  <c r="IK24" i="4" s="1"/>
  <c r="IL24" i="4" s="1"/>
  <c r="IM24" i="4" s="1"/>
  <c r="IN24" i="4" s="1"/>
  <c r="IO24" i="4" s="1"/>
  <c r="IP24" i="4" s="1"/>
  <c r="IQ24" i="4" s="1"/>
  <c r="IR24" i="4" s="1"/>
  <c r="IS24" i="4" s="1"/>
  <c r="IT24" i="4" s="1"/>
  <c r="IU24" i="4" s="1"/>
  <c r="IV24" i="4" s="1"/>
  <c r="IW24" i="4" s="1"/>
  <c r="IX24" i="4" s="1"/>
  <c r="IY24" i="4" s="1"/>
  <c r="IZ24" i="4" s="1"/>
  <c r="JA24" i="4" s="1"/>
  <c r="JB24" i="4" s="1"/>
  <c r="JC24" i="4" s="1"/>
  <c r="K28" i="4"/>
  <c r="P26" i="4"/>
  <c r="P27" i="4" s="1"/>
  <c r="P28" i="4" s="1"/>
  <c r="P29" i="4" s="1"/>
  <c r="K27" i="4"/>
  <c r="K33" i="4"/>
  <c r="H29" i="4"/>
  <c r="K29" i="4" s="1"/>
  <c r="H34" i="4"/>
  <c r="K34" i="4" s="1"/>
  <c r="J29" i="4"/>
  <c r="J33" i="4"/>
  <c r="J34" i="4"/>
  <c r="J27" i="4"/>
  <c r="J28" i="4"/>
  <c r="N29" i="4" l="1"/>
  <c r="N31" i="4" s="1"/>
  <c r="N32" i="4" s="1"/>
  <c r="N34" i="4" s="1"/>
</calcChain>
</file>

<file path=xl/sharedStrings.xml><?xml version="1.0" encoding="utf-8"?>
<sst xmlns="http://schemas.openxmlformats.org/spreadsheetml/2006/main" count="275" uniqueCount="254">
  <si>
    <t>Date</t>
  </si>
  <si>
    <t>Price</t>
  </si>
  <si>
    <t>Open</t>
  </si>
  <si>
    <t>High</t>
  </si>
  <si>
    <t>Low</t>
  </si>
  <si>
    <t>Vol.</t>
  </si>
  <si>
    <t>Change %</t>
  </si>
  <si>
    <t>2.04M</t>
  </si>
  <si>
    <t>3.16M</t>
  </si>
  <si>
    <t>4.41M</t>
  </si>
  <si>
    <t>6.14M</t>
  </si>
  <si>
    <t>3.77M</t>
  </si>
  <si>
    <t>2.44M</t>
  </si>
  <si>
    <t>3.07M</t>
  </si>
  <si>
    <t>3.21M</t>
  </si>
  <si>
    <t>3.51M</t>
  </si>
  <si>
    <t>4.47M</t>
  </si>
  <si>
    <t>6.52M</t>
  </si>
  <si>
    <t>4.83M</t>
  </si>
  <si>
    <t>6.54M</t>
  </si>
  <si>
    <t>2.93M</t>
  </si>
  <si>
    <t>3.15M</t>
  </si>
  <si>
    <t>6.70M</t>
  </si>
  <si>
    <t>3.58M</t>
  </si>
  <si>
    <t>2.67M</t>
  </si>
  <si>
    <t>2.79M</t>
  </si>
  <si>
    <t>2.66M</t>
  </si>
  <si>
    <t>4.05M</t>
  </si>
  <si>
    <t>3.95M</t>
  </si>
  <si>
    <t>3.00M</t>
  </si>
  <si>
    <t>2.91M</t>
  </si>
  <si>
    <t>3.63M</t>
  </si>
  <si>
    <t>2.57M</t>
  </si>
  <si>
    <t>3.22M</t>
  </si>
  <si>
    <t>2.51M</t>
  </si>
  <si>
    <t>2.89M</t>
  </si>
  <si>
    <t>6.97M</t>
  </si>
  <si>
    <t>3.40M</t>
  </si>
  <si>
    <t>3.35M</t>
  </si>
  <si>
    <t>3.96M</t>
  </si>
  <si>
    <t>2.71M</t>
  </si>
  <si>
    <t>1.27M</t>
  </si>
  <si>
    <t>1.93M</t>
  </si>
  <si>
    <t>1.97M</t>
  </si>
  <si>
    <t>2.97M</t>
  </si>
  <si>
    <t>2.05M</t>
  </si>
  <si>
    <t>1.62M</t>
  </si>
  <si>
    <t>1.61M</t>
  </si>
  <si>
    <t>1.92M</t>
  </si>
  <si>
    <t>1.57M</t>
  </si>
  <si>
    <t>1.39M</t>
  </si>
  <si>
    <t>2.29M</t>
  </si>
  <si>
    <t>2.13M</t>
  </si>
  <si>
    <t>1.64M</t>
  </si>
  <si>
    <t>3.28M</t>
  </si>
  <si>
    <t>2.09M</t>
  </si>
  <si>
    <t>1.63M</t>
  </si>
  <si>
    <t>1.90M</t>
  </si>
  <si>
    <t>1.54M</t>
  </si>
  <si>
    <t>2.80M</t>
  </si>
  <si>
    <t>1.66M</t>
  </si>
  <si>
    <t>2.56M</t>
  </si>
  <si>
    <t>2.11M</t>
  </si>
  <si>
    <t>1.84M</t>
  </si>
  <si>
    <t>Mean Price</t>
  </si>
  <si>
    <t>Medium Price</t>
  </si>
  <si>
    <t xml:space="preserve">Mode Price </t>
  </si>
  <si>
    <t xml:space="preserve">Mean Change </t>
  </si>
  <si>
    <t xml:space="preserve">Medium Change </t>
  </si>
  <si>
    <t xml:space="preserve">Mode Change </t>
  </si>
  <si>
    <t>Change</t>
  </si>
  <si>
    <t>Standard Deviation, Price</t>
  </si>
  <si>
    <t>Variance, Price</t>
  </si>
  <si>
    <t xml:space="preserve">Standard Deviation, Change, % </t>
  </si>
  <si>
    <t>Variance, Change, %</t>
  </si>
  <si>
    <t>Company number: 650447</t>
  </si>
  <si>
    <t>RENEW HOLDINGS PLC</t>
  </si>
  <si>
    <t>LON: RNWH</t>
  </si>
  <si>
    <t xml:space="preserve">Price </t>
  </si>
  <si>
    <t>Shares</t>
  </si>
  <si>
    <t>MC</t>
  </si>
  <si>
    <t>Cash</t>
  </si>
  <si>
    <t xml:space="preserve">Debt </t>
  </si>
  <si>
    <t xml:space="preserve">EV </t>
  </si>
  <si>
    <t>Industry: Industrials</t>
  </si>
  <si>
    <t>* all numbers in thousands, GBP</t>
  </si>
  <si>
    <t>927.00 GBX</t>
  </si>
  <si>
    <t>Cash = cash and equivalents</t>
  </si>
  <si>
    <t>*Strong net cash position</t>
  </si>
  <si>
    <t>Low risk business model</t>
  </si>
  <si>
    <t>Employees: 4,429</t>
  </si>
  <si>
    <t>Markets with committed regulatory funding</t>
  </si>
  <si>
    <t>£600bn UK Government commitment to infrastructure</t>
  </si>
  <si>
    <t>Operating in complex, challenging and highly regulated environments</t>
  </si>
  <si>
    <t>Rail</t>
  </si>
  <si>
    <t>Infrastructure</t>
  </si>
  <si>
    <t>Energy</t>
  </si>
  <si>
    <t>Environmental</t>
  </si>
  <si>
    <t>risk reduction operations at nuclear facilities</t>
  </si>
  <si>
    <t xml:space="preserve">specialist drainage, lighting and electricals at National Highways </t>
  </si>
  <si>
    <t>asset maintenance and renewals across water infrastructure</t>
  </si>
  <si>
    <t>providing asset maintenance to the rail network</t>
  </si>
  <si>
    <t xml:space="preserve">Risks </t>
  </si>
  <si>
    <t>Dependency on government contracts &amp; commitments</t>
  </si>
  <si>
    <t>Earnings</t>
  </si>
  <si>
    <t>EV/E</t>
  </si>
  <si>
    <t>Delivering mission-critical infrastructure services across the UK</t>
  </si>
  <si>
    <t>Sector: Construction and Materials</t>
  </si>
  <si>
    <t>P/E</t>
  </si>
  <si>
    <t xml:space="preserve">EBIT </t>
  </si>
  <si>
    <t>EV/EBIT</t>
  </si>
  <si>
    <t xml:space="preserve">Revenue </t>
  </si>
  <si>
    <t xml:space="preserve">Cost of revenue </t>
  </si>
  <si>
    <t xml:space="preserve">Gross profit </t>
  </si>
  <si>
    <t xml:space="preserve">Other income </t>
  </si>
  <si>
    <t>Administrative</t>
  </si>
  <si>
    <t xml:space="preserve">Operating profit </t>
  </si>
  <si>
    <t xml:space="preserve">Finance income </t>
  </si>
  <si>
    <t xml:space="preserve">Finance costs </t>
  </si>
  <si>
    <t xml:space="preserve">Other finance income </t>
  </si>
  <si>
    <t xml:space="preserve">Pretax profit </t>
  </si>
  <si>
    <t xml:space="preserve">Profit (net income) </t>
  </si>
  <si>
    <t>Taxes</t>
  </si>
  <si>
    <t>Profit continued activities</t>
  </si>
  <si>
    <t>Loss from discontinued operations</t>
  </si>
  <si>
    <t>Joint ventures post-tax (loss)</t>
  </si>
  <si>
    <t>Main</t>
  </si>
  <si>
    <t>Y2021</t>
  </si>
  <si>
    <t>Y2022</t>
  </si>
  <si>
    <t>Y2023</t>
  </si>
  <si>
    <t>Y2024</t>
  </si>
  <si>
    <t xml:space="preserve">Gross margin </t>
  </si>
  <si>
    <t xml:space="preserve">Profit margin </t>
  </si>
  <si>
    <t>Revenue growth y/y</t>
  </si>
  <si>
    <t>Profit growth y/y</t>
  </si>
  <si>
    <t xml:space="preserve">Operating profit margin </t>
  </si>
  <si>
    <t>Y2019</t>
  </si>
  <si>
    <t>Y2020</t>
  </si>
  <si>
    <t xml:space="preserve">Average margins </t>
  </si>
  <si>
    <t xml:space="preserve">Average growth rates   </t>
  </si>
  <si>
    <t xml:space="preserve">Median margins </t>
  </si>
  <si>
    <t xml:space="preserve">Median growth rates   </t>
  </si>
  <si>
    <t xml:space="preserve">IPO: 2006 </t>
  </si>
  <si>
    <t xml:space="preserve">CEO </t>
  </si>
  <si>
    <t>CFO</t>
  </si>
  <si>
    <t>Paul Scott</t>
  </si>
  <si>
    <t>Sean Wyndham-Quin</t>
  </si>
  <si>
    <t>Chairman</t>
  </si>
  <si>
    <t>David Brown</t>
  </si>
  <si>
    <t>1.86M</t>
  </si>
  <si>
    <t>1.77M</t>
  </si>
  <si>
    <t>1.12M</t>
  </si>
  <si>
    <t>2.64M</t>
  </si>
  <si>
    <t>1.42M</t>
  </si>
  <si>
    <t>1.71M</t>
  </si>
  <si>
    <t>2.01M</t>
  </si>
  <si>
    <t>1.55M</t>
  </si>
  <si>
    <t>2.02M</t>
  </si>
  <si>
    <t>3.31M</t>
  </si>
  <si>
    <t>2.07M</t>
  </si>
  <si>
    <t>2.65M</t>
  </si>
  <si>
    <t>2.70M</t>
  </si>
  <si>
    <t>1.91M</t>
  </si>
  <si>
    <t>1.32M</t>
  </si>
  <si>
    <t>2.34M</t>
  </si>
  <si>
    <t>1.58M</t>
  </si>
  <si>
    <t>1.19M</t>
  </si>
  <si>
    <t>1.04M</t>
  </si>
  <si>
    <t>1.46M</t>
  </si>
  <si>
    <t>Annualised Return (AAR)</t>
  </si>
  <si>
    <t xml:space="preserve">Discount </t>
  </si>
  <si>
    <t xml:space="preserve">NPV </t>
  </si>
  <si>
    <t xml:space="preserve">Value </t>
  </si>
  <si>
    <t>Share</t>
  </si>
  <si>
    <t xml:space="preserve">Current </t>
  </si>
  <si>
    <t>Cost of Debt = (Total Interest Expense / Total Debt) x (1 - Tax Rate)</t>
  </si>
  <si>
    <t>Total Debt = Short-Term Debt + Long-Term Debt</t>
  </si>
  <si>
    <t xml:space="preserve">Effective Tax Rate = Income Tax Expense / Earnings Before Taxes </t>
  </si>
  <si>
    <t>Pre-tax Cost of Debt = Interest Expense / Total Debt</t>
  </si>
  <si>
    <t xml:space="preserve">E = total value of company's equity = market cap </t>
  </si>
  <si>
    <t xml:space="preserve">D = total value of a debt = Total Debt </t>
  </si>
  <si>
    <t xml:space="preserve">V = E + D </t>
  </si>
  <si>
    <t xml:space="preserve">Re = Cost of Equity </t>
  </si>
  <si>
    <t xml:space="preserve">Rd = Cost of Debt </t>
  </si>
  <si>
    <t xml:space="preserve">Tc = Tax Rate </t>
  </si>
  <si>
    <t xml:space="preserve">WACC </t>
  </si>
  <si>
    <t xml:space="preserve">Cost of Equity </t>
  </si>
  <si>
    <t xml:space="preserve">Risk free rate </t>
  </si>
  <si>
    <t xml:space="preserve">Beta </t>
  </si>
  <si>
    <t xml:space="preserve">Market return </t>
  </si>
  <si>
    <t xml:space="preserve">Cost of Debt </t>
  </si>
  <si>
    <t>Maturity</t>
  </si>
  <si>
    <t xml:space="preserve">Cost of Equity = Risk free rate + stock beta * (Market Risk Premium) </t>
  </si>
  <si>
    <t xml:space="preserve">WACC = (E/V * Re) + (D/V * Rd * (1-Tc)) </t>
  </si>
  <si>
    <t>Market premium</t>
  </si>
  <si>
    <t>Debt / Equity (D/E)</t>
  </si>
  <si>
    <t xml:space="preserve">Industry average </t>
  </si>
  <si>
    <t>NTABPS</t>
  </si>
  <si>
    <t xml:space="preserve">Net Tangible Assets </t>
  </si>
  <si>
    <t>=Assets - Intangible assets - Liabilities</t>
  </si>
  <si>
    <t>=NTA / SO</t>
  </si>
  <si>
    <t xml:space="preserve">NTABPS/P, % </t>
  </si>
  <si>
    <t>Book Value</t>
  </si>
  <si>
    <t>BVPS</t>
  </si>
  <si>
    <t>Price-to-Book (P/B)</t>
  </si>
  <si>
    <t xml:space="preserve">Total liabilities </t>
  </si>
  <si>
    <t xml:space="preserve">Total assets </t>
  </si>
  <si>
    <t xml:space="preserve">BVPS/P, % </t>
  </si>
  <si>
    <t>*great book value ratio</t>
  </si>
  <si>
    <t>OCF</t>
  </si>
  <si>
    <t xml:space="preserve">CapEx (PP&amp;E) </t>
  </si>
  <si>
    <t xml:space="preserve">FCF </t>
  </si>
  <si>
    <t>FCF growth y/y</t>
  </si>
  <si>
    <t>Y2025</t>
  </si>
  <si>
    <t>Y2026</t>
  </si>
  <si>
    <t>Y2027</t>
  </si>
  <si>
    <t>Y2028</t>
  </si>
  <si>
    <t>Y2029</t>
  </si>
  <si>
    <t>Y2030</t>
  </si>
  <si>
    <t>FTSE100 10y avg</t>
  </si>
  <si>
    <t xml:space="preserve">Interest expense </t>
  </si>
  <si>
    <t>Total debt</t>
  </si>
  <si>
    <t>Operating profit growth y/y</t>
  </si>
  <si>
    <t xml:space="preserve">Upside </t>
  </si>
  <si>
    <t>Terminal</t>
  </si>
  <si>
    <t xml:space="preserve">PV(TV) </t>
  </si>
  <si>
    <t>Downside</t>
  </si>
  <si>
    <t>5y revenue growth</t>
  </si>
  <si>
    <t xml:space="preserve">Balance sheet </t>
  </si>
  <si>
    <t>Goodwill+Intangibles</t>
  </si>
  <si>
    <t xml:space="preserve">PP&amp;A </t>
  </si>
  <si>
    <t xml:space="preserve">Inventories </t>
  </si>
  <si>
    <t xml:space="preserve">A/R </t>
  </si>
  <si>
    <t xml:space="preserve">OCA </t>
  </si>
  <si>
    <t>ONCA</t>
  </si>
  <si>
    <t>ROU</t>
  </si>
  <si>
    <t>OCL</t>
  </si>
  <si>
    <t>ONCL</t>
  </si>
  <si>
    <t xml:space="preserve">A/P </t>
  </si>
  <si>
    <t xml:space="preserve">AE </t>
  </si>
  <si>
    <t xml:space="preserve">Assets </t>
  </si>
  <si>
    <t>Liabilities</t>
  </si>
  <si>
    <t xml:space="preserve">S/E </t>
  </si>
  <si>
    <t xml:space="preserve">L + S/E </t>
  </si>
  <si>
    <t>Lease debt (non-current)</t>
  </si>
  <si>
    <t xml:space="preserve">Debt (current) </t>
  </si>
  <si>
    <t>Debt = borrowings + current/non-current lease liabilities (interest-bearing debt)</t>
  </si>
  <si>
    <t xml:space="preserve">= % of share price backed by tangible net-assets </t>
  </si>
  <si>
    <t>Company: Engineering firm specializing in UK (and rest Europe) infrastructure maintenance</t>
  </si>
  <si>
    <t>(Small tangible net-assets position as for industrial company)</t>
  </si>
  <si>
    <t>10y UK bonds yield</t>
  </si>
  <si>
    <t xml:space="preserve">Effective tax rate </t>
  </si>
  <si>
    <t>* low WACC, however the D/E is higher than industry average - more debt-dependent</t>
  </si>
  <si>
    <t>Core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</si>
</sst>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7">
    <font>
      <sz val="10"/>
      <color theme="1"/>
      <name val="ArialMT"/>
      <family val="2"/>
    </font>
    <font>
      <sz val="10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0"/>
      <color rgb="FF006100"/>
      <name val="ArialMT"/>
      <family val="2"/>
    </font>
    <font>
      <sz val="10"/>
      <color rgb="FF9C0006"/>
      <name val="ArialMT"/>
      <family val="2"/>
    </font>
    <font>
      <sz val="10"/>
      <color rgb="FF9C5700"/>
      <name val="ArialMT"/>
      <family val="2"/>
    </font>
    <font>
      <sz val="10"/>
      <color rgb="FF3F3F76"/>
      <name val="ArialMT"/>
      <family val="2"/>
    </font>
    <font>
      <b/>
      <sz val="10"/>
      <color rgb="FF3F3F3F"/>
      <name val="ArialMT"/>
      <family val="2"/>
    </font>
    <font>
      <b/>
      <sz val="10"/>
      <color rgb="FFFA7D00"/>
      <name val="ArialMT"/>
      <family val="2"/>
    </font>
    <font>
      <sz val="10"/>
      <color rgb="FFFA7D00"/>
      <name val="ArialMT"/>
      <family val="2"/>
    </font>
    <font>
      <b/>
      <sz val="10"/>
      <color theme="0"/>
      <name val="ArialMT"/>
      <family val="2"/>
    </font>
    <font>
      <sz val="10"/>
      <color rgb="FFFF0000"/>
      <name val="ArialMT"/>
      <family val="2"/>
    </font>
    <font>
      <i/>
      <sz val="10"/>
      <color rgb="FF7F7F7F"/>
      <name val="ArialMT"/>
      <family val="2"/>
    </font>
    <font>
      <b/>
      <sz val="10"/>
      <color theme="1"/>
      <name val="ArialMT"/>
      <family val="2"/>
    </font>
    <font>
      <sz val="10"/>
      <color theme="0"/>
      <name val="ArialMT"/>
      <family val="2"/>
    </font>
    <font>
      <b/>
      <sz val="10"/>
      <color theme="1"/>
      <name val="ArialMT"/>
    </font>
    <font>
      <sz val="10"/>
      <color theme="1"/>
      <name val="ArialMT"/>
    </font>
    <font>
      <i/>
      <sz val="10"/>
      <color theme="1"/>
      <name val="ArialMT"/>
    </font>
    <font>
      <u/>
      <sz val="10"/>
      <color theme="10"/>
      <name val="ArialMT"/>
      <family val="2"/>
    </font>
    <font>
      <sz val="8"/>
      <name val="ArialMT"/>
      <family val="2"/>
    </font>
    <font>
      <sz val="10"/>
      <color rgb="FF000000"/>
      <name val="ArialMT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70">
    <xf numFmtId="0" fontId="0" fillId="0" borderId="0" xfId="0"/>
    <xf numFmtId="14" fontId="0" fillId="0" borderId="0" xfId="0" applyNumberFormat="1"/>
    <xf numFmtId="10" fontId="0" fillId="0" borderId="0" xfId="0" applyNumberFormat="1"/>
    <xf numFmtId="4" fontId="0" fillId="0" borderId="0" xfId="0" applyNumberFormat="1"/>
    <xf numFmtId="0" fontId="0" fillId="0" borderId="13" xfId="0" applyBorder="1"/>
    <xf numFmtId="0" fontId="18" fillId="0" borderId="0" xfId="0" applyFont="1"/>
    <xf numFmtId="0" fontId="19" fillId="0" borderId="10" xfId="0" applyFont="1" applyBorder="1"/>
    <xf numFmtId="2" fontId="0" fillId="0" borderId="11" xfId="0" applyNumberFormat="1" applyBorder="1"/>
    <xf numFmtId="0" fontId="19" fillId="0" borderId="15" xfId="0" applyFont="1" applyBorder="1"/>
    <xf numFmtId="0" fontId="0" fillId="0" borderId="16" xfId="0" applyBorder="1"/>
    <xf numFmtId="0" fontId="19" fillId="0" borderId="12" xfId="0" applyFont="1" applyBorder="1"/>
    <xf numFmtId="0" fontId="0" fillId="0" borderId="10" xfId="0" applyBorder="1"/>
    <xf numFmtId="0" fontId="0" fillId="0" borderId="15" xfId="0" applyBorder="1"/>
    <xf numFmtId="10" fontId="0" fillId="0" borderId="16" xfId="0" applyNumberFormat="1" applyBorder="1"/>
    <xf numFmtId="0" fontId="0" fillId="0" borderId="12" xfId="0" applyBorder="1"/>
    <xf numFmtId="10" fontId="0" fillId="0" borderId="11" xfId="0" applyNumberFormat="1" applyBorder="1"/>
    <xf numFmtId="10" fontId="0" fillId="0" borderId="13" xfId="0" applyNumberFormat="1" applyBorder="1"/>
    <xf numFmtId="2" fontId="0" fillId="0" borderId="0" xfId="0" applyNumberFormat="1"/>
    <xf numFmtId="2" fontId="0" fillId="0" borderId="13" xfId="0" applyNumberFormat="1" applyBorder="1"/>
    <xf numFmtId="0" fontId="20" fillId="0" borderId="0" xfId="0" applyFont="1"/>
    <xf numFmtId="3" fontId="0" fillId="0" borderId="0" xfId="0" applyNumberFormat="1"/>
    <xf numFmtId="4" fontId="19" fillId="0" borderId="0" xfId="0" applyNumberFormat="1" applyFont="1"/>
    <xf numFmtId="4" fontId="18" fillId="0" borderId="0" xfId="0" applyNumberFormat="1" applyFont="1"/>
    <xf numFmtId="2" fontId="18" fillId="0" borderId="0" xfId="0" applyNumberFormat="1" applyFont="1"/>
    <xf numFmtId="2" fontId="19" fillId="0" borderId="0" xfId="0" applyNumberFormat="1" applyFont="1"/>
    <xf numFmtId="3" fontId="18" fillId="0" borderId="0" xfId="0" applyNumberFormat="1" applyFont="1"/>
    <xf numFmtId="4" fontId="0" fillId="0" borderId="10" xfId="0" applyNumberFormat="1" applyBorder="1"/>
    <xf numFmtId="4" fontId="0" fillId="0" borderId="11" xfId="0" applyNumberFormat="1" applyBorder="1"/>
    <xf numFmtId="4" fontId="0" fillId="0" borderId="15" xfId="0" applyNumberFormat="1" applyBorder="1"/>
    <xf numFmtId="3" fontId="0" fillId="0" borderId="16" xfId="0" applyNumberFormat="1" applyBorder="1"/>
    <xf numFmtId="4" fontId="18" fillId="0" borderId="12" xfId="0" applyNumberFormat="1" applyFont="1" applyBorder="1"/>
    <xf numFmtId="3" fontId="18" fillId="0" borderId="13" xfId="0" applyNumberFormat="1" applyFont="1" applyBorder="1"/>
    <xf numFmtId="0" fontId="21" fillId="0" borderId="0" xfId="42"/>
    <xf numFmtId="0" fontId="0" fillId="0" borderId="0" xfId="0" applyAlignment="1">
      <alignment horizontal="left"/>
    </xf>
    <xf numFmtId="0" fontId="19" fillId="0" borderId="0" xfId="0" applyFont="1"/>
    <xf numFmtId="3" fontId="19" fillId="0" borderId="0" xfId="0" applyNumberFormat="1" applyFont="1"/>
    <xf numFmtId="0" fontId="20" fillId="0" borderId="0" xfId="0" applyFont="1" applyAlignment="1">
      <alignment horizontal="right"/>
    </xf>
    <xf numFmtId="4" fontId="20" fillId="0" borderId="0" xfId="0" applyNumberFormat="1" applyFont="1" applyAlignment="1">
      <alignment horizontal="left"/>
    </xf>
    <xf numFmtId="10" fontId="23" fillId="0" borderId="0" xfId="0" applyNumberFormat="1" applyFont="1"/>
    <xf numFmtId="0" fontId="0" fillId="0" borderId="17" xfId="0" applyBorder="1"/>
    <xf numFmtId="10" fontId="0" fillId="0" borderId="14" xfId="0" applyNumberFormat="1" applyBorder="1"/>
    <xf numFmtId="1" fontId="0" fillId="0" borderId="11" xfId="0" applyNumberFormat="1" applyBorder="1"/>
    <xf numFmtId="3" fontId="24" fillId="0" borderId="0" xfId="0" applyNumberFormat="1" applyFont="1"/>
    <xf numFmtId="0" fontId="24" fillId="0" borderId="0" xfId="0" applyFont="1"/>
    <xf numFmtId="10" fontId="25" fillId="0" borderId="0" xfId="0" applyNumberFormat="1" applyFont="1"/>
    <xf numFmtId="10" fontId="24" fillId="0" borderId="0" xfId="0" applyNumberFormat="1" applyFont="1"/>
    <xf numFmtId="9" fontId="24" fillId="0" borderId="0" xfId="0" applyNumberFormat="1" applyFont="1"/>
    <xf numFmtId="0" fontId="26" fillId="0" borderId="0" xfId="0" applyFont="1"/>
    <xf numFmtId="0" fontId="16" fillId="0" borderId="0" xfId="0" applyFont="1"/>
    <xf numFmtId="2" fontId="25" fillId="0" borderId="0" xfId="0" applyNumberFormat="1" applyFont="1"/>
    <xf numFmtId="165" fontId="0" fillId="0" borderId="0" xfId="0" applyNumberFormat="1"/>
    <xf numFmtId="0" fontId="0" fillId="0" borderId="0" xfId="0" quotePrefix="1"/>
    <xf numFmtId="9" fontId="0" fillId="0" borderId="0" xfId="0" applyNumberFormat="1"/>
    <xf numFmtId="0" fontId="18" fillId="0" borderId="10" xfId="0" applyFont="1" applyBorder="1"/>
    <xf numFmtId="0" fontId="18" fillId="0" borderId="11" xfId="0" applyFont="1" applyBorder="1"/>
    <xf numFmtId="10" fontId="0" fillId="0" borderId="15" xfId="0" applyNumberFormat="1" applyBorder="1"/>
    <xf numFmtId="10" fontId="0" fillId="0" borderId="12" xfId="0" applyNumberFormat="1" applyBorder="1"/>
    <xf numFmtId="3" fontId="19" fillId="0" borderId="16" xfId="0" applyNumberFormat="1" applyFont="1" applyBorder="1"/>
    <xf numFmtId="2" fontId="18" fillId="0" borderId="16" xfId="0" applyNumberFormat="1" applyFont="1" applyBorder="1"/>
    <xf numFmtId="4" fontId="19" fillId="0" borderId="16" xfId="0" applyNumberFormat="1" applyFont="1" applyBorder="1"/>
    <xf numFmtId="9" fontId="18" fillId="0" borderId="13" xfId="0" applyNumberFormat="1" applyFont="1" applyBorder="1"/>
    <xf numFmtId="9" fontId="18" fillId="0" borderId="11" xfId="0" applyNumberFormat="1" applyFont="1" applyBorder="1"/>
    <xf numFmtId="0" fontId="18" fillId="0" borderId="10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18" fillId="0" borderId="15" xfId="0" applyFont="1" applyBorder="1" applyAlignment="1">
      <alignment horizontal="left"/>
    </xf>
    <xf numFmtId="0" fontId="19" fillId="0" borderId="15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9" fontId="19" fillId="0" borderId="0" xfId="0" applyNumberFormat="1" applyFont="1"/>
    <xf numFmtId="9" fontId="18" fillId="0" borderId="0" xfId="0" applyNumberFormat="1" applyFont="1"/>
    <xf numFmtId="9" fontId="0" fillId="0" borderId="16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Charts!$H$1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Charts!$B$2:$B$63</c:f>
              <c:strCache>
                <c:ptCount val="62"/>
                <c:pt idx="0">
                  <c:v>Date</c:v>
                </c:pt>
                <c:pt idx="1">
                  <c:v>01.01.2026</c:v>
                </c:pt>
                <c:pt idx="2">
                  <c:v>01.12.2025</c:v>
                </c:pt>
                <c:pt idx="3">
                  <c:v>01.11.2025</c:v>
                </c:pt>
                <c:pt idx="4">
                  <c:v>01.10.2025</c:v>
                </c:pt>
                <c:pt idx="5">
                  <c:v>01.09.2025</c:v>
                </c:pt>
                <c:pt idx="6">
                  <c:v>01.08.2025</c:v>
                </c:pt>
                <c:pt idx="7">
                  <c:v>01.07.2025</c:v>
                </c:pt>
                <c:pt idx="8">
                  <c:v>01.06.2025</c:v>
                </c:pt>
                <c:pt idx="9">
                  <c:v>01.05.2025</c:v>
                </c:pt>
                <c:pt idx="10">
                  <c:v>01.04.2025</c:v>
                </c:pt>
                <c:pt idx="11">
                  <c:v>01.03.2025</c:v>
                </c:pt>
                <c:pt idx="12">
                  <c:v>01.02.2025</c:v>
                </c:pt>
                <c:pt idx="13">
                  <c:v>01.01.2025</c:v>
                </c:pt>
                <c:pt idx="14">
                  <c:v>01.12.2024</c:v>
                </c:pt>
                <c:pt idx="15">
                  <c:v>01.11.2024</c:v>
                </c:pt>
                <c:pt idx="16">
                  <c:v>01.10.2024</c:v>
                </c:pt>
                <c:pt idx="17">
                  <c:v>01.09.2024</c:v>
                </c:pt>
                <c:pt idx="18">
                  <c:v>01.08.2024</c:v>
                </c:pt>
                <c:pt idx="19">
                  <c:v>01.07.2024</c:v>
                </c:pt>
                <c:pt idx="20">
                  <c:v>01.06.2024</c:v>
                </c:pt>
                <c:pt idx="21">
                  <c:v>01.05.2024</c:v>
                </c:pt>
                <c:pt idx="22">
                  <c:v>01.04.2024</c:v>
                </c:pt>
                <c:pt idx="23">
                  <c:v>01.03.2024</c:v>
                </c:pt>
                <c:pt idx="24">
                  <c:v>01.02.2024</c:v>
                </c:pt>
                <c:pt idx="25">
                  <c:v>01.01.2024</c:v>
                </c:pt>
                <c:pt idx="26">
                  <c:v>01.12.2023</c:v>
                </c:pt>
                <c:pt idx="27">
                  <c:v>01.11.2023</c:v>
                </c:pt>
                <c:pt idx="28">
                  <c:v>01.10.2023</c:v>
                </c:pt>
                <c:pt idx="29">
                  <c:v>01.09.2023</c:v>
                </c:pt>
                <c:pt idx="30">
                  <c:v>01.08.2023</c:v>
                </c:pt>
                <c:pt idx="31">
                  <c:v>01.07.2023</c:v>
                </c:pt>
                <c:pt idx="32">
                  <c:v>01.06.2023</c:v>
                </c:pt>
                <c:pt idx="33">
                  <c:v>01.05.2023</c:v>
                </c:pt>
                <c:pt idx="34">
                  <c:v>01.04.2023</c:v>
                </c:pt>
                <c:pt idx="35">
                  <c:v>01.03.2023</c:v>
                </c:pt>
                <c:pt idx="36">
                  <c:v>01.02.2023</c:v>
                </c:pt>
                <c:pt idx="37">
                  <c:v>01.01.2023</c:v>
                </c:pt>
                <c:pt idx="38">
                  <c:v>01.12.2022</c:v>
                </c:pt>
                <c:pt idx="39">
                  <c:v>01.11.2022</c:v>
                </c:pt>
                <c:pt idx="40">
                  <c:v>01.10.2022</c:v>
                </c:pt>
                <c:pt idx="41">
                  <c:v>01.09.2022</c:v>
                </c:pt>
                <c:pt idx="42">
                  <c:v>01.08.2022</c:v>
                </c:pt>
                <c:pt idx="43">
                  <c:v>01.07.2022</c:v>
                </c:pt>
                <c:pt idx="44">
                  <c:v>01.06.2022</c:v>
                </c:pt>
                <c:pt idx="45">
                  <c:v>01.05.2022</c:v>
                </c:pt>
                <c:pt idx="46">
                  <c:v>01.04.2022</c:v>
                </c:pt>
                <c:pt idx="47">
                  <c:v>01.03.2022</c:v>
                </c:pt>
                <c:pt idx="48">
                  <c:v>01.02.2022</c:v>
                </c:pt>
                <c:pt idx="49">
                  <c:v>01.01.2022</c:v>
                </c:pt>
                <c:pt idx="50">
                  <c:v>01.12.2021</c:v>
                </c:pt>
                <c:pt idx="51">
                  <c:v>01.11.2021</c:v>
                </c:pt>
                <c:pt idx="52">
                  <c:v>01.10.2021</c:v>
                </c:pt>
                <c:pt idx="53">
                  <c:v>01.09.2021</c:v>
                </c:pt>
                <c:pt idx="54">
                  <c:v>01.08.2021</c:v>
                </c:pt>
                <c:pt idx="55">
                  <c:v>01.07.2021</c:v>
                </c:pt>
                <c:pt idx="56">
                  <c:v>01.06.2021</c:v>
                </c:pt>
                <c:pt idx="57">
                  <c:v>01.05.2021</c:v>
                </c:pt>
                <c:pt idx="58">
                  <c:v>01.04.2021</c:v>
                </c:pt>
                <c:pt idx="59">
                  <c:v>01.03.2021</c:v>
                </c:pt>
                <c:pt idx="60">
                  <c:v>01.02.2021</c:v>
                </c:pt>
                <c:pt idx="61">
                  <c:v>01.01.2021</c:v>
                </c:pt>
              </c:strCache>
            </c:strRef>
          </c:xVal>
          <c:yVal>
            <c:numRef>
              <c:f>Charts!$H$2:$H$63</c:f>
              <c:numCache>
                <c:formatCode>0.00%</c:formatCode>
                <c:ptCount val="62"/>
                <c:pt idx="0" formatCode="General">
                  <c:v>0</c:v>
                </c:pt>
                <c:pt idx="1">
                  <c:v>3.1399999999999997E-2</c:v>
                </c:pt>
                <c:pt idx="2">
                  <c:v>-4.5999999999999999E-2</c:v>
                </c:pt>
                <c:pt idx="3">
                  <c:v>8.6E-3</c:v>
                </c:pt>
                <c:pt idx="4">
                  <c:v>0.14319999999999999</c:v>
                </c:pt>
                <c:pt idx="5">
                  <c:v>1.12E-2</c:v>
                </c:pt>
                <c:pt idx="6">
                  <c:v>-4.9799999999999997E-2</c:v>
                </c:pt>
                <c:pt idx="7">
                  <c:v>-8.2000000000000007E-3</c:v>
                </c:pt>
                <c:pt idx="8">
                  <c:v>3.6600000000000001E-2</c:v>
                </c:pt>
                <c:pt idx="9">
                  <c:v>8.6099999999999996E-2</c:v>
                </c:pt>
                <c:pt idx="10">
                  <c:v>0.14050000000000001</c:v>
                </c:pt>
                <c:pt idx="11">
                  <c:v>4.5999999999999999E-3</c:v>
                </c:pt>
                <c:pt idx="12">
                  <c:v>-9.9699999999999997E-2</c:v>
                </c:pt>
                <c:pt idx="13">
                  <c:v>-0.19120000000000001</c:v>
                </c:pt>
                <c:pt idx="14">
                  <c:v>-0.1298</c:v>
                </c:pt>
                <c:pt idx="15">
                  <c:v>-4.9399999999999999E-2</c:v>
                </c:pt>
                <c:pt idx="16">
                  <c:v>3.9899999999999998E-2</c:v>
                </c:pt>
                <c:pt idx="17">
                  <c:v>-1.8700000000000001E-2</c:v>
                </c:pt>
                <c:pt idx="18">
                  <c:v>-1.29E-2</c:v>
                </c:pt>
                <c:pt idx="19">
                  <c:v>2.2599999999999999E-2</c:v>
                </c:pt>
                <c:pt idx="20">
                  <c:v>-5.5999999999999999E-3</c:v>
                </c:pt>
                <c:pt idx="21">
                  <c:v>0.13020000000000001</c:v>
                </c:pt>
                <c:pt idx="22">
                  <c:v>2.2700000000000001E-2</c:v>
                </c:pt>
                <c:pt idx="23">
                  <c:v>5.6000000000000001E-2</c:v>
                </c:pt>
                <c:pt idx="24">
                  <c:v>-5.7000000000000002E-3</c:v>
                </c:pt>
                <c:pt idx="25">
                  <c:v>2.4400000000000002E-2</c:v>
                </c:pt>
                <c:pt idx="26">
                  <c:v>2.0199999999999999E-2</c:v>
                </c:pt>
                <c:pt idx="27">
                  <c:v>0.17430000000000001</c:v>
                </c:pt>
                <c:pt idx="28">
                  <c:v>5.5999999999999999E-3</c:v>
                </c:pt>
                <c:pt idx="29">
                  <c:v>-7.0000000000000001E-3</c:v>
                </c:pt>
                <c:pt idx="30">
                  <c:v>-1.6400000000000001E-2</c:v>
                </c:pt>
                <c:pt idx="31">
                  <c:v>-1.8800000000000001E-2</c:v>
                </c:pt>
                <c:pt idx="32">
                  <c:v>4.0599999999999997E-2</c:v>
                </c:pt>
                <c:pt idx="33">
                  <c:v>-1.6500000000000001E-2</c:v>
                </c:pt>
                <c:pt idx="34">
                  <c:v>7.5399999999999995E-2</c:v>
                </c:pt>
                <c:pt idx="35">
                  <c:v>-5.1900000000000002E-2</c:v>
                </c:pt>
                <c:pt idx="36">
                  <c:v>-2.5999999999999999E-2</c:v>
                </c:pt>
                <c:pt idx="37">
                  <c:v>0</c:v>
                </c:pt>
                <c:pt idx="38">
                  <c:v>7.17E-2</c:v>
                </c:pt>
                <c:pt idx="39">
                  <c:v>0.1124</c:v>
                </c:pt>
                <c:pt idx="40">
                  <c:v>7.7200000000000005E-2</c:v>
                </c:pt>
                <c:pt idx="41">
                  <c:v>-0.1135</c:v>
                </c:pt>
                <c:pt idx="42">
                  <c:v>-0.1323</c:v>
                </c:pt>
                <c:pt idx="43">
                  <c:v>0.1578</c:v>
                </c:pt>
                <c:pt idx="44">
                  <c:v>-7.51E-2</c:v>
                </c:pt>
                <c:pt idx="45">
                  <c:v>-0.01</c:v>
                </c:pt>
                <c:pt idx="46">
                  <c:v>2.1899999999999999E-2</c:v>
                </c:pt>
                <c:pt idx="47">
                  <c:v>5.8999999999999999E-3</c:v>
                </c:pt>
                <c:pt idx="48">
                  <c:v>-5.5599999999999997E-2</c:v>
                </c:pt>
                <c:pt idx="49">
                  <c:v>-0.13769999999999999</c:v>
                </c:pt>
                <c:pt idx="50">
                  <c:v>3.9899999999999998E-2</c:v>
                </c:pt>
                <c:pt idx="51">
                  <c:v>5.2400000000000002E-2</c:v>
                </c:pt>
                <c:pt idx="52">
                  <c:v>-3.4200000000000001E-2</c:v>
                </c:pt>
                <c:pt idx="53">
                  <c:v>0.03</c:v>
                </c:pt>
                <c:pt idx="54">
                  <c:v>2.8199999999999999E-2</c:v>
                </c:pt>
                <c:pt idx="55">
                  <c:v>0.1052</c:v>
                </c:pt>
                <c:pt idx="56">
                  <c:v>6.13E-2</c:v>
                </c:pt>
                <c:pt idx="57">
                  <c:v>1.7600000000000001E-2</c:v>
                </c:pt>
                <c:pt idx="58">
                  <c:v>0.1082</c:v>
                </c:pt>
                <c:pt idx="59">
                  <c:v>0.1235</c:v>
                </c:pt>
                <c:pt idx="60">
                  <c:v>-4.2000000000000003E-2</c:v>
                </c:pt>
                <c:pt idx="61">
                  <c:v>-6.4299999999999996E-2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BC-0847-8E60-1CB56B0FC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420543"/>
        <c:axId val="1304348415"/>
      </c:scatterChart>
      <c:valAx>
        <c:axId val="141142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304348415"/>
        <c:crosses val="autoZero"/>
        <c:crossBetween val="midCat"/>
      </c:valAx>
      <c:valAx>
        <c:axId val="130434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411420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Charts!$H$1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Charts!$B$2:$B$63</c:f>
              <c:strCache>
                <c:ptCount val="62"/>
                <c:pt idx="0">
                  <c:v>Date</c:v>
                </c:pt>
                <c:pt idx="1">
                  <c:v>01.01.2026</c:v>
                </c:pt>
                <c:pt idx="2">
                  <c:v>01.12.2025</c:v>
                </c:pt>
                <c:pt idx="3">
                  <c:v>01.11.2025</c:v>
                </c:pt>
                <c:pt idx="4">
                  <c:v>01.10.2025</c:v>
                </c:pt>
                <c:pt idx="5">
                  <c:v>01.09.2025</c:v>
                </c:pt>
                <c:pt idx="6">
                  <c:v>01.08.2025</c:v>
                </c:pt>
                <c:pt idx="7">
                  <c:v>01.07.2025</c:v>
                </c:pt>
                <c:pt idx="8">
                  <c:v>01.06.2025</c:v>
                </c:pt>
                <c:pt idx="9">
                  <c:v>01.05.2025</c:v>
                </c:pt>
                <c:pt idx="10">
                  <c:v>01.04.2025</c:v>
                </c:pt>
                <c:pt idx="11">
                  <c:v>01.03.2025</c:v>
                </c:pt>
                <c:pt idx="12">
                  <c:v>01.02.2025</c:v>
                </c:pt>
                <c:pt idx="13">
                  <c:v>01.01.2025</c:v>
                </c:pt>
                <c:pt idx="14">
                  <c:v>01.12.2024</c:v>
                </c:pt>
                <c:pt idx="15">
                  <c:v>01.11.2024</c:v>
                </c:pt>
                <c:pt idx="16">
                  <c:v>01.10.2024</c:v>
                </c:pt>
                <c:pt idx="17">
                  <c:v>01.09.2024</c:v>
                </c:pt>
                <c:pt idx="18">
                  <c:v>01.08.2024</c:v>
                </c:pt>
                <c:pt idx="19">
                  <c:v>01.07.2024</c:v>
                </c:pt>
                <c:pt idx="20">
                  <c:v>01.06.2024</c:v>
                </c:pt>
                <c:pt idx="21">
                  <c:v>01.05.2024</c:v>
                </c:pt>
                <c:pt idx="22">
                  <c:v>01.04.2024</c:v>
                </c:pt>
                <c:pt idx="23">
                  <c:v>01.03.2024</c:v>
                </c:pt>
                <c:pt idx="24">
                  <c:v>01.02.2024</c:v>
                </c:pt>
                <c:pt idx="25">
                  <c:v>01.01.2024</c:v>
                </c:pt>
                <c:pt idx="26">
                  <c:v>01.12.2023</c:v>
                </c:pt>
                <c:pt idx="27">
                  <c:v>01.11.2023</c:v>
                </c:pt>
                <c:pt idx="28">
                  <c:v>01.10.2023</c:v>
                </c:pt>
                <c:pt idx="29">
                  <c:v>01.09.2023</c:v>
                </c:pt>
                <c:pt idx="30">
                  <c:v>01.08.2023</c:v>
                </c:pt>
                <c:pt idx="31">
                  <c:v>01.07.2023</c:v>
                </c:pt>
                <c:pt idx="32">
                  <c:v>01.06.2023</c:v>
                </c:pt>
                <c:pt idx="33">
                  <c:v>01.05.2023</c:v>
                </c:pt>
                <c:pt idx="34">
                  <c:v>01.04.2023</c:v>
                </c:pt>
                <c:pt idx="35">
                  <c:v>01.03.2023</c:v>
                </c:pt>
                <c:pt idx="36">
                  <c:v>01.02.2023</c:v>
                </c:pt>
                <c:pt idx="37">
                  <c:v>01.01.2023</c:v>
                </c:pt>
                <c:pt idx="38">
                  <c:v>01.12.2022</c:v>
                </c:pt>
                <c:pt idx="39">
                  <c:v>01.11.2022</c:v>
                </c:pt>
                <c:pt idx="40">
                  <c:v>01.10.2022</c:v>
                </c:pt>
                <c:pt idx="41">
                  <c:v>01.09.2022</c:v>
                </c:pt>
                <c:pt idx="42">
                  <c:v>01.08.2022</c:v>
                </c:pt>
                <c:pt idx="43">
                  <c:v>01.07.2022</c:v>
                </c:pt>
                <c:pt idx="44">
                  <c:v>01.06.2022</c:v>
                </c:pt>
                <c:pt idx="45">
                  <c:v>01.05.2022</c:v>
                </c:pt>
                <c:pt idx="46">
                  <c:v>01.04.2022</c:v>
                </c:pt>
                <c:pt idx="47">
                  <c:v>01.03.2022</c:v>
                </c:pt>
                <c:pt idx="48">
                  <c:v>01.02.2022</c:v>
                </c:pt>
                <c:pt idx="49">
                  <c:v>01.01.2022</c:v>
                </c:pt>
                <c:pt idx="50">
                  <c:v>01.12.2021</c:v>
                </c:pt>
                <c:pt idx="51">
                  <c:v>01.11.2021</c:v>
                </c:pt>
                <c:pt idx="52">
                  <c:v>01.10.2021</c:v>
                </c:pt>
                <c:pt idx="53">
                  <c:v>01.09.2021</c:v>
                </c:pt>
                <c:pt idx="54">
                  <c:v>01.08.2021</c:v>
                </c:pt>
                <c:pt idx="55">
                  <c:v>01.07.2021</c:v>
                </c:pt>
                <c:pt idx="56">
                  <c:v>01.06.2021</c:v>
                </c:pt>
                <c:pt idx="57">
                  <c:v>01.05.2021</c:v>
                </c:pt>
                <c:pt idx="58">
                  <c:v>01.04.2021</c:v>
                </c:pt>
                <c:pt idx="59">
                  <c:v>01.03.2021</c:v>
                </c:pt>
                <c:pt idx="60">
                  <c:v>01.02.2021</c:v>
                </c:pt>
                <c:pt idx="61">
                  <c:v>01.01.2021</c:v>
                </c:pt>
              </c:strCache>
            </c:strRef>
          </c:cat>
          <c:val>
            <c:numRef>
              <c:f>Charts!$H$2:$H$63</c:f>
              <c:numCache>
                <c:formatCode>0.00%</c:formatCode>
                <c:ptCount val="62"/>
                <c:pt idx="0" formatCode="General">
                  <c:v>0</c:v>
                </c:pt>
                <c:pt idx="1">
                  <c:v>3.1399999999999997E-2</c:v>
                </c:pt>
                <c:pt idx="2">
                  <c:v>-4.5999999999999999E-2</c:v>
                </c:pt>
                <c:pt idx="3">
                  <c:v>8.6E-3</c:v>
                </c:pt>
                <c:pt idx="4">
                  <c:v>0.14319999999999999</c:v>
                </c:pt>
                <c:pt idx="5">
                  <c:v>1.12E-2</c:v>
                </c:pt>
                <c:pt idx="6">
                  <c:v>-4.9799999999999997E-2</c:v>
                </c:pt>
                <c:pt idx="7">
                  <c:v>-8.2000000000000007E-3</c:v>
                </c:pt>
                <c:pt idx="8">
                  <c:v>3.6600000000000001E-2</c:v>
                </c:pt>
                <c:pt idx="9">
                  <c:v>8.6099999999999996E-2</c:v>
                </c:pt>
                <c:pt idx="10">
                  <c:v>0.14050000000000001</c:v>
                </c:pt>
                <c:pt idx="11">
                  <c:v>4.5999999999999999E-3</c:v>
                </c:pt>
                <c:pt idx="12">
                  <c:v>-9.9699999999999997E-2</c:v>
                </c:pt>
                <c:pt idx="13">
                  <c:v>-0.19120000000000001</c:v>
                </c:pt>
                <c:pt idx="14">
                  <c:v>-0.1298</c:v>
                </c:pt>
                <c:pt idx="15">
                  <c:v>-4.9399999999999999E-2</c:v>
                </c:pt>
                <c:pt idx="16">
                  <c:v>3.9899999999999998E-2</c:v>
                </c:pt>
                <c:pt idx="17">
                  <c:v>-1.8700000000000001E-2</c:v>
                </c:pt>
                <c:pt idx="18">
                  <c:v>-1.29E-2</c:v>
                </c:pt>
                <c:pt idx="19">
                  <c:v>2.2599999999999999E-2</c:v>
                </c:pt>
                <c:pt idx="20">
                  <c:v>-5.5999999999999999E-3</c:v>
                </c:pt>
                <c:pt idx="21">
                  <c:v>0.13020000000000001</c:v>
                </c:pt>
                <c:pt idx="22">
                  <c:v>2.2700000000000001E-2</c:v>
                </c:pt>
                <c:pt idx="23">
                  <c:v>5.6000000000000001E-2</c:v>
                </c:pt>
                <c:pt idx="24">
                  <c:v>-5.7000000000000002E-3</c:v>
                </c:pt>
                <c:pt idx="25">
                  <c:v>2.4400000000000002E-2</c:v>
                </c:pt>
                <c:pt idx="26">
                  <c:v>2.0199999999999999E-2</c:v>
                </c:pt>
                <c:pt idx="27">
                  <c:v>0.17430000000000001</c:v>
                </c:pt>
                <c:pt idx="28">
                  <c:v>5.5999999999999999E-3</c:v>
                </c:pt>
                <c:pt idx="29">
                  <c:v>-7.0000000000000001E-3</c:v>
                </c:pt>
                <c:pt idx="30">
                  <c:v>-1.6400000000000001E-2</c:v>
                </c:pt>
                <c:pt idx="31">
                  <c:v>-1.8800000000000001E-2</c:v>
                </c:pt>
                <c:pt idx="32">
                  <c:v>4.0599999999999997E-2</c:v>
                </c:pt>
                <c:pt idx="33">
                  <c:v>-1.6500000000000001E-2</c:v>
                </c:pt>
                <c:pt idx="34">
                  <c:v>7.5399999999999995E-2</c:v>
                </c:pt>
                <c:pt idx="35">
                  <c:v>-5.1900000000000002E-2</c:v>
                </c:pt>
                <c:pt idx="36">
                  <c:v>-2.5999999999999999E-2</c:v>
                </c:pt>
                <c:pt idx="37">
                  <c:v>0</c:v>
                </c:pt>
                <c:pt idx="38">
                  <c:v>7.17E-2</c:v>
                </c:pt>
                <c:pt idx="39">
                  <c:v>0.1124</c:v>
                </c:pt>
                <c:pt idx="40">
                  <c:v>7.7200000000000005E-2</c:v>
                </c:pt>
                <c:pt idx="41">
                  <c:v>-0.1135</c:v>
                </c:pt>
                <c:pt idx="42">
                  <c:v>-0.1323</c:v>
                </c:pt>
                <c:pt idx="43">
                  <c:v>0.1578</c:v>
                </c:pt>
                <c:pt idx="44">
                  <c:v>-7.51E-2</c:v>
                </c:pt>
                <c:pt idx="45">
                  <c:v>-0.01</c:v>
                </c:pt>
                <c:pt idx="46">
                  <c:v>2.1899999999999999E-2</c:v>
                </c:pt>
                <c:pt idx="47">
                  <c:v>5.8999999999999999E-3</c:v>
                </c:pt>
                <c:pt idx="48">
                  <c:v>-5.5599999999999997E-2</c:v>
                </c:pt>
                <c:pt idx="49">
                  <c:v>-0.13769999999999999</c:v>
                </c:pt>
                <c:pt idx="50">
                  <c:v>3.9899999999999998E-2</c:v>
                </c:pt>
                <c:pt idx="51">
                  <c:v>5.2400000000000002E-2</c:v>
                </c:pt>
                <c:pt idx="52">
                  <c:v>-3.4200000000000001E-2</c:v>
                </c:pt>
                <c:pt idx="53">
                  <c:v>0.03</c:v>
                </c:pt>
                <c:pt idx="54">
                  <c:v>2.8199999999999999E-2</c:v>
                </c:pt>
                <c:pt idx="55">
                  <c:v>0.1052</c:v>
                </c:pt>
                <c:pt idx="56">
                  <c:v>6.13E-2</c:v>
                </c:pt>
                <c:pt idx="57">
                  <c:v>1.7600000000000001E-2</c:v>
                </c:pt>
                <c:pt idx="58">
                  <c:v>0.1082</c:v>
                </c:pt>
                <c:pt idx="59">
                  <c:v>0.1235</c:v>
                </c:pt>
                <c:pt idx="60">
                  <c:v>-4.2000000000000003E-2</c:v>
                </c:pt>
                <c:pt idx="61">
                  <c:v>-6.4299999999999996E-2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39-FF4F-BEB3-755602EEF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241471"/>
        <c:axId val="1409241919"/>
      </c:lineChart>
      <c:catAx>
        <c:axId val="140924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409241919"/>
        <c:crosses val="autoZero"/>
        <c:auto val="1"/>
        <c:lblAlgn val="ctr"/>
        <c:lblOffset val="100"/>
        <c:noMultiLvlLbl val="0"/>
      </c:catAx>
      <c:valAx>
        <c:axId val="140924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40924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Charts!$C$2</c:f>
              <c:strCache>
                <c:ptCount val="1"/>
                <c:pt idx="0">
                  <c:v>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Charts!$B$3:$B$87</c:f>
              <c:numCache>
                <c:formatCode>m/d/yy</c:formatCode>
                <c:ptCount val="85"/>
                <c:pt idx="0">
                  <c:v>46023</c:v>
                </c:pt>
                <c:pt idx="1">
                  <c:v>45992</c:v>
                </c:pt>
                <c:pt idx="2">
                  <c:v>45962</c:v>
                </c:pt>
                <c:pt idx="3">
                  <c:v>45931</c:v>
                </c:pt>
                <c:pt idx="4">
                  <c:v>45901</c:v>
                </c:pt>
                <c:pt idx="5">
                  <c:v>45870</c:v>
                </c:pt>
                <c:pt idx="6">
                  <c:v>45839</c:v>
                </c:pt>
                <c:pt idx="7">
                  <c:v>45809</c:v>
                </c:pt>
                <c:pt idx="8">
                  <c:v>45778</c:v>
                </c:pt>
                <c:pt idx="9">
                  <c:v>45748</c:v>
                </c:pt>
                <c:pt idx="10">
                  <c:v>45717</c:v>
                </c:pt>
                <c:pt idx="11">
                  <c:v>45689</c:v>
                </c:pt>
                <c:pt idx="12">
                  <c:v>45658</c:v>
                </c:pt>
                <c:pt idx="13">
                  <c:v>45627</c:v>
                </c:pt>
                <c:pt idx="14">
                  <c:v>45597</c:v>
                </c:pt>
                <c:pt idx="15">
                  <c:v>45566</c:v>
                </c:pt>
                <c:pt idx="16">
                  <c:v>45536</c:v>
                </c:pt>
                <c:pt idx="17">
                  <c:v>45505</c:v>
                </c:pt>
                <c:pt idx="18">
                  <c:v>45474</c:v>
                </c:pt>
                <c:pt idx="19">
                  <c:v>45444</c:v>
                </c:pt>
                <c:pt idx="20">
                  <c:v>45413</c:v>
                </c:pt>
                <c:pt idx="21">
                  <c:v>45383</c:v>
                </c:pt>
                <c:pt idx="22">
                  <c:v>45352</c:v>
                </c:pt>
                <c:pt idx="23">
                  <c:v>45323</c:v>
                </c:pt>
                <c:pt idx="24">
                  <c:v>45292</c:v>
                </c:pt>
                <c:pt idx="25">
                  <c:v>45261</c:v>
                </c:pt>
                <c:pt idx="26">
                  <c:v>45231</c:v>
                </c:pt>
                <c:pt idx="27">
                  <c:v>45200</c:v>
                </c:pt>
                <c:pt idx="28">
                  <c:v>45170</c:v>
                </c:pt>
                <c:pt idx="29">
                  <c:v>45139</c:v>
                </c:pt>
                <c:pt idx="30">
                  <c:v>45108</c:v>
                </c:pt>
                <c:pt idx="31">
                  <c:v>45078</c:v>
                </c:pt>
                <c:pt idx="32">
                  <c:v>45047</c:v>
                </c:pt>
                <c:pt idx="33">
                  <c:v>45017</c:v>
                </c:pt>
                <c:pt idx="34">
                  <c:v>44986</c:v>
                </c:pt>
                <c:pt idx="35">
                  <c:v>44958</c:v>
                </c:pt>
                <c:pt idx="36">
                  <c:v>44927</c:v>
                </c:pt>
                <c:pt idx="37">
                  <c:v>44896</c:v>
                </c:pt>
                <c:pt idx="38">
                  <c:v>44866</c:v>
                </c:pt>
                <c:pt idx="39">
                  <c:v>44835</c:v>
                </c:pt>
                <c:pt idx="40">
                  <c:v>44805</c:v>
                </c:pt>
                <c:pt idx="41">
                  <c:v>44774</c:v>
                </c:pt>
                <c:pt idx="42">
                  <c:v>44743</c:v>
                </c:pt>
                <c:pt idx="43">
                  <c:v>44713</c:v>
                </c:pt>
                <c:pt idx="44">
                  <c:v>44682</c:v>
                </c:pt>
                <c:pt idx="45">
                  <c:v>44652</c:v>
                </c:pt>
                <c:pt idx="46">
                  <c:v>44621</c:v>
                </c:pt>
                <c:pt idx="47">
                  <c:v>44593</c:v>
                </c:pt>
                <c:pt idx="48">
                  <c:v>44562</c:v>
                </c:pt>
                <c:pt idx="49">
                  <c:v>44531</c:v>
                </c:pt>
                <c:pt idx="50">
                  <c:v>44501</c:v>
                </c:pt>
                <c:pt idx="51">
                  <c:v>44470</c:v>
                </c:pt>
                <c:pt idx="52">
                  <c:v>44440</c:v>
                </c:pt>
                <c:pt idx="53">
                  <c:v>44409</c:v>
                </c:pt>
                <c:pt idx="54">
                  <c:v>44378</c:v>
                </c:pt>
                <c:pt idx="55">
                  <c:v>44348</c:v>
                </c:pt>
                <c:pt idx="56">
                  <c:v>44317</c:v>
                </c:pt>
                <c:pt idx="57">
                  <c:v>44287</c:v>
                </c:pt>
                <c:pt idx="58">
                  <c:v>44256</c:v>
                </c:pt>
                <c:pt idx="59">
                  <c:v>44228</c:v>
                </c:pt>
                <c:pt idx="60">
                  <c:v>44197</c:v>
                </c:pt>
                <c:pt idx="61">
                  <c:v>44166</c:v>
                </c:pt>
                <c:pt idx="62">
                  <c:v>44136</c:v>
                </c:pt>
                <c:pt idx="63">
                  <c:v>44105</c:v>
                </c:pt>
                <c:pt idx="64">
                  <c:v>44075</c:v>
                </c:pt>
                <c:pt idx="65">
                  <c:v>44044</c:v>
                </c:pt>
                <c:pt idx="66">
                  <c:v>44013</c:v>
                </c:pt>
                <c:pt idx="67">
                  <c:v>43983</c:v>
                </c:pt>
                <c:pt idx="68">
                  <c:v>43952</c:v>
                </c:pt>
                <c:pt idx="69">
                  <c:v>43922</c:v>
                </c:pt>
                <c:pt idx="70">
                  <c:v>43891</c:v>
                </c:pt>
                <c:pt idx="71">
                  <c:v>43862</c:v>
                </c:pt>
                <c:pt idx="72">
                  <c:v>43831</c:v>
                </c:pt>
                <c:pt idx="73">
                  <c:v>43800</c:v>
                </c:pt>
                <c:pt idx="74">
                  <c:v>43770</c:v>
                </c:pt>
                <c:pt idx="75">
                  <c:v>43739</c:v>
                </c:pt>
                <c:pt idx="76">
                  <c:v>43709</c:v>
                </c:pt>
                <c:pt idx="77">
                  <c:v>43678</c:v>
                </c:pt>
                <c:pt idx="78">
                  <c:v>43647</c:v>
                </c:pt>
                <c:pt idx="79">
                  <c:v>43617</c:v>
                </c:pt>
                <c:pt idx="80">
                  <c:v>43586</c:v>
                </c:pt>
                <c:pt idx="81">
                  <c:v>43556</c:v>
                </c:pt>
                <c:pt idx="82">
                  <c:v>43525</c:v>
                </c:pt>
                <c:pt idx="83">
                  <c:v>43497</c:v>
                </c:pt>
                <c:pt idx="84">
                  <c:v>43466</c:v>
                </c:pt>
              </c:numCache>
            </c:numRef>
          </c:xVal>
          <c:yVal>
            <c:numRef>
              <c:f>Charts!$C$3:$C$87</c:f>
              <c:numCache>
                <c:formatCode>General</c:formatCode>
                <c:ptCount val="85"/>
                <c:pt idx="0">
                  <c:v>919</c:v>
                </c:pt>
                <c:pt idx="1">
                  <c:v>891</c:v>
                </c:pt>
                <c:pt idx="2">
                  <c:v>934</c:v>
                </c:pt>
                <c:pt idx="3">
                  <c:v>926</c:v>
                </c:pt>
                <c:pt idx="4">
                  <c:v>810</c:v>
                </c:pt>
                <c:pt idx="5">
                  <c:v>801</c:v>
                </c:pt>
                <c:pt idx="6">
                  <c:v>843</c:v>
                </c:pt>
                <c:pt idx="7">
                  <c:v>850</c:v>
                </c:pt>
                <c:pt idx="8">
                  <c:v>820</c:v>
                </c:pt>
                <c:pt idx="9">
                  <c:v>755</c:v>
                </c:pt>
                <c:pt idx="10">
                  <c:v>662</c:v>
                </c:pt>
                <c:pt idx="11">
                  <c:v>659</c:v>
                </c:pt>
                <c:pt idx="12">
                  <c:v>732</c:v>
                </c:pt>
                <c:pt idx="13">
                  <c:v>905</c:v>
                </c:pt>
                <c:pt idx="14" formatCode="#,##0.00">
                  <c:v>1040</c:v>
                </c:pt>
                <c:pt idx="15" formatCode="#,##0.00">
                  <c:v>1094</c:v>
                </c:pt>
                <c:pt idx="16" formatCode="#,##0.00">
                  <c:v>1052</c:v>
                </c:pt>
                <c:pt idx="17" formatCode="#,##0.00">
                  <c:v>1072</c:v>
                </c:pt>
                <c:pt idx="18" formatCode="#,##0.00">
                  <c:v>1086</c:v>
                </c:pt>
                <c:pt idx="19" formatCode="#,##0.00">
                  <c:v>1062</c:v>
                </c:pt>
                <c:pt idx="20" formatCode="#,##0.00">
                  <c:v>1068</c:v>
                </c:pt>
                <c:pt idx="21">
                  <c:v>945</c:v>
                </c:pt>
                <c:pt idx="22">
                  <c:v>924</c:v>
                </c:pt>
                <c:pt idx="23">
                  <c:v>875</c:v>
                </c:pt>
                <c:pt idx="24">
                  <c:v>880</c:v>
                </c:pt>
                <c:pt idx="25">
                  <c:v>859</c:v>
                </c:pt>
                <c:pt idx="26">
                  <c:v>842</c:v>
                </c:pt>
                <c:pt idx="27">
                  <c:v>717</c:v>
                </c:pt>
                <c:pt idx="28">
                  <c:v>713</c:v>
                </c:pt>
                <c:pt idx="29">
                  <c:v>718</c:v>
                </c:pt>
                <c:pt idx="30">
                  <c:v>730</c:v>
                </c:pt>
                <c:pt idx="31">
                  <c:v>744</c:v>
                </c:pt>
                <c:pt idx="32">
                  <c:v>715</c:v>
                </c:pt>
                <c:pt idx="33">
                  <c:v>727</c:v>
                </c:pt>
                <c:pt idx="34">
                  <c:v>676</c:v>
                </c:pt>
                <c:pt idx="35">
                  <c:v>713</c:v>
                </c:pt>
                <c:pt idx="36">
                  <c:v>732</c:v>
                </c:pt>
                <c:pt idx="37">
                  <c:v>732</c:v>
                </c:pt>
                <c:pt idx="38">
                  <c:v>683</c:v>
                </c:pt>
                <c:pt idx="39">
                  <c:v>614</c:v>
                </c:pt>
                <c:pt idx="40">
                  <c:v>570</c:v>
                </c:pt>
                <c:pt idx="41">
                  <c:v>643</c:v>
                </c:pt>
                <c:pt idx="42">
                  <c:v>741</c:v>
                </c:pt>
                <c:pt idx="43">
                  <c:v>640</c:v>
                </c:pt>
                <c:pt idx="44">
                  <c:v>692</c:v>
                </c:pt>
                <c:pt idx="45">
                  <c:v>699</c:v>
                </c:pt>
                <c:pt idx="46">
                  <c:v>684</c:v>
                </c:pt>
                <c:pt idx="47">
                  <c:v>680</c:v>
                </c:pt>
                <c:pt idx="48">
                  <c:v>720</c:v>
                </c:pt>
                <c:pt idx="49">
                  <c:v>835</c:v>
                </c:pt>
                <c:pt idx="50">
                  <c:v>803</c:v>
                </c:pt>
                <c:pt idx="51">
                  <c:v>763</c:v>
                </c:pt>
                <c:pt idx="52">
                  <c:v>790</c:v>
                </c:pt>
                <c:pt idx="53">
                  <c:v>767</c:v>
                </c:pt>
                <c:pt idx="54">
                  <c:v>746</c:v>
                </c:pt>
                <c:pt idx="55">
                  <c:v>675</c:v>
                </c:pt>
                <c:pt idx="56">
                  <c:v>636</c:v>
                </c:pt>
                <c:pt idx="57">
                  <c:v>625</c:v>
                </c:pt>
                <c:pt idx="58">
                  <c:v>564</c:v>
                </c:pt>
                <c:pt idx="59">
                  <c:v>502</c:v>
                </c:pt>
                <c:pt idx="60">
                  <c:v>524</c:v>
                </c:pt>
                <c:pt idx="61">
                  <c:v>560</c:v>
                </c:pt>
                <c:pt idx="62">
                  <c:v>495</c:v>
                </c:pt>
                <c:pt idx="63">
                  <c:v>435</c:v>
                </c:pt>
                <c:pt idx="64">
                  <c:v>455</c:v>
                </c:pt>
                <c:pt idx="65">
                  <c:v>423</c:v>
                </c:pt>
                <c:pt idx="66">
                  <c:v>436</c:v>
                </c:pt>
                <c:pt idx="67">
                  <c:v>443</c:v>
                </c:pt>
                <c:pt idx="68">
                  <c:v>463</c:v>
                </c:pt>
                <c:pt idx="69">
                  <c:v>452</c:v>
                </c:pt>
                <c:pt idx="70">
                  <c:v>376</c:v>
                </c:pt>
                <c:pt idx="71">
                  <c:v>494</c:v>
                </c:pt>
                <c:pt idx="72">
                  <c:v>500</c:v>
                </c:pt>
                <c:pt idx="73">
                  <c:v>546</c:v>
                </c:pt>
                <c:pt idx="74">
                  <c:v>390</c:v>
                </c:pt>
                <c:pt idx="75">
                  <c:v>383</c:v>
                </c:pt>
                <c:pt idx="76">
                  <c:v>385</c:v>
                </c:pt>
                <c:pt idx="77">
                  <c:v>386.5</c:v>
                </c:pt>
                <c:pt idx="78">
                  <c:v>400</c:v>
                </c:pt>
                <c:pt idx="79">
                  <c:v>415</c:v>
                </c:pt>
                <c:pt idx="80">
                  <c:v>430</c:v>
                </c:pt>
                <c:pt idx="81">
                  <c:v>390.5</c:v>
                </c:pt>
                <c:pt idx="82">
                  <c:v>402</c:v>
                </c:pt>
                <c:pt idx="83">
                  <c:v>377</c:v>
                </c:pt>
                <c:pt idx="84">
                  <c:v>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46-C049-81D4-3B77F9FDF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634239"/>
        <c:axId val="1077624831"/>
      </c:scatterChart>
      <c:valAx>
        <c:axId val="1077634239"/>
        <c:scaling>
          <c:orientation val="minMax"/>
          <c:max val="46023"/>
          <c:min val="4346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077624831"/>
        <c:crosses val="autoZero"/>
        <c:crossBetween val="midCat"/>
        <c:majorUnit val="300"/>
      </c:valAx>
      <c:valAx>
        <c:axId val="1077624831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077634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8881</xdr:colOff>
      <xdr:row>0</xdr:row>
      <xdr:rowOff>17762</xdr:rowOff>
    </xdr:from>
    <xdr:to>
      <xdr:col>8</xdr:col>
      <xdr:colOff>8881</xdr:colOff>
      <xdr:row>44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D046857-9AA9-9DB7-723B-A0A4D4536D48}"/>
            </a:ext>
          </a:extLst>
        </xdr:cNvPr>
        <xdr:cNvCxnSpPr/>
      </xdr:nvCxnSpPr>
      <xdr:spPr>
        <a:xfrm>
          <a:off x="7389091" y="17762"/>
          <a:ext cx="0" cy="665195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785456</xdr:colOff>
      <xdr:row>11</xdr:row>
      <xdr:rowOff>144654</xdr:rowOff>
    </xdr:from>
    <xdr:to>
      <xdr:col>23</xdr:col>
      <xdr:colOff>259462</xdr:colOff>
      <xdr:row>31</xdr:row>
      <xdr:rowOff>27312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915A08-28F2-B827-59C1-9BDDF77F8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10259</xdr:colOff>
      <xdr:row>11</xdr:row>
      <xdr:rowOff>149425</xdr:rowOff>
    </xdr:from>
    <xdr:to>
      <xdr:col>30</xdr:col>
      <xdr:colOff>355053</xdr:colOff>
      <xdr:row>30</xdr:row>
      <xdr:rowOff>122903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CE9431-B64F-DE95-F6A2-044CB5BFE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10624</xdr:colOff>
      <xdr:row>11</xdr:row>
      <xdr:rowOff>70428</xdr:rowOff>
    </xdr:from>
    <xdr:to>
      <xdr:col>16</xdr:col>
      <xdr:colOff>20320</xdr:colOff>
      <xdr:row>40</xdr:row>
      <xdr:rowOff>91440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29453C-D756-4516-DD5F-C74D3E975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2587-4A26-0B48-BE9A-BE2DDF8D3146}">
  <dimension ref="B2:M36"/>
  <sheetViews>
    <sheetView zoomScale="140" workbookViewId="0">
      <selection activeCell="O16" sqref="O16"/>
    </sheetView>
  </sheetViews>
  <sheetFormatPr baseColWidth="10" defaultRowHeight="13"/>
  <cols>
    <col min="2" max="2" width="14.5" customWidth="1"/>
    <col min="8" max="8" width="10.83203125" customWidth="1"/>
    <col min="10" max="10" width="15.6640625" customWidth="1"/>
    <col min="11" max="11" width="13.6640625" customWidth="1"/>
    <col min="13" max="13" width="10.6640625" customWidth="1"/>
  </cols>
  <sheetData>
    <row r="2" spans="2:13">
      <c r="B2" s="19" t="s">
        <v>85</v>
      </c>
    </row>
    <row r="3" spans="2:13">
      <c r="J3" s="26" t="s">
        <v>78</v>
      </c>
      <c r="K3" s="27">
        <v>9.27</v>
      </c>
      <c r="L3" s="36" t="s">
        <v>86</v>
      </c>
    </row>
    <row r="4" spans="2:13">
      <c r="B4" s="5" t="s">
        <v>76</v>
      </c>
      <c r="J4" s="28" t="s">
        <v>79</v>
      </c>
      <c r="K4" s="29">
        <v>79138</v>
      </c>
      <c r="M4" s="17"/>
    </row>
    <row r="5" spans="2:13">
      <c r="B5" t="s">
        <v>75</v>
      </c>
      <c r="J5" s="28" t="s">
        <v>80</v>
      </c>
      <c r="K5" s="29">
        <f>K3*K4</f>
        <v>733609.26</v>
      </c>
      <c r="M5" s="3"/>
    </row>
    <row r="6" spans="2:13">
      <c r="B6" t="s">
        <v>77</v>
      </c>
      <c r="J6" s="28" t="s">
        <v>81</v>
      </c>
      <c r="K6" s="29">
        <v>80219</v>
      </c>
      <c r="M6" s="3"/>
    </row>
    <row r="7" spans="2:13">
      <c r="J7" s="28" t="s">
        <v>82</v>
      </c>
      <c r="K7" s="29">
        <f>15605+52000+8975</f>
        <v>76580</v>
      </c>
    </row>
    <row r="8" spans="2:13">
      <c r="B8" s="34" t="s">
        <v>248</v>
      </c>
      <c r="J8" s="30" t="s">
        <v>83</v>
      </c>
      <c r="K8" s="31">
        <f>K5+K7-K6</f>
        <v>729970.26</v>
      </c>
      <c r="L8" s="37" t="s">
        <v>88</v>
      </c>
    </row>
    <row r="9" spans="2:13">
      <c r="B9" s="34" t="s">
        <v>84</v>
      </c>
      <c r="L9" s="19"/>
    </row>
    <row r="10" spans="2:13">
      <c r="B10" t="s">
        <v>107</v>
      </c>
      <c r="J10" s="3" t="s">
        <v>109</v>
      </c>
      <c r="K10" s="20">
        <v>61171</v>
      </c>
      <c r="L10" s="36" t="s">
        <v>130</v>
      </c>
    </row>
    <row r="11" spans="2:13">
      <c r="J11" s="3" t="s">
        <v>104</v>
      </c>
      <c r="K11" s="20">
        <v>41571</v>
      </c>
      <c r="L11" s="36" t="s">
        <v>130</v>
      </c>
    </row>
    <row r="12" spans="2:13">
      <c r="B12" t="s">
        <v>142</v>
      </c>
    </row>
    <row r="13" spans="2:13">
      <c r="B13" t="s">
        <v>90</v>
      </c>
      <c r="J13" t="s">
        <v>110</v>
      </c>
      <c r="K13" s="17">
        <f>K8/K10</f>
        <v>11.933273283091662</v>
      </c>
    </row>
    <row r="14" spans="2:13">
      <c r="J14" s="22" t="s">
        <v>105</v>
      </c>
      <c r="K14" s="23">
        <f>K8/K11</f>
        <v>17.559603088691635</v>
      </c>
    </row>
    <row r="15" spans="2:13">
      <c r="B15" s="5" t="s">
        <v>89</v>
      </c>
      <c r="J15" s="21" t="s">
        <v>108</v>
      </c>
      <c r="K15" s="24">
        <f>K5/K11</f>
        <v>17.647140073609005</v>
      </c>
    </row>
    <row r="16" spans="2:13">
      <c r="B16" t="s">
        <v>91</v>
      </c>
      <c r="H16" s="20"/>
    </row>
    <row r="17" spans="2:12">
      <c r="B17" t="s">
        <v>92</v>
      </c>
      <c r="H17" s="3"/>
      <c r="J17" s="3" t="s">
        <v>87</v>
      </c>
    </row>
    <row r="18" spans="2:12">
      <c r="B18" t="s">
        <v>106</v>
      </c>
      <c r="H18" s="3"/>
      <c r="J18" t="s">
        <v>246</v>
      </c>
    </row>
    <row r="21" spans="2:12">
      <c r="B21" s="5" t="s">
        <v>253</v>
      </c>
    </row>
    <row r="22" spans="2:12">
      <c r="B22" t="s">
        <v>94</v>
      </c>
      <c r="J22" s="5" t="s">
        <v>206</v>
      </c>
      <c r="K22" s="25">
        <f>Model!H49</f>
        <v>547713</v>
      </c>
      <c r="L22" s="36" t="s">
        <v>130</v>
      </c>
    </row>
    <row r="23" spans="2:12">
      <c r="B23" t="s">
        <v>95</v>
      </c>
      <c r="C23" t="s">
        <v>101</v>
      </c>
      <c r="J23" s="5" t="s">
        <v>205</v>
      </c>
      <c r="K23" s="25">
        <f>Model!H57</f>
        <v>341323</v>
      </c>
      <c r="L23" s="36" t="s">
        <v>130</v>
      </c>
    </row>
    <row r="24" spans="2:12">
      <c r="B24" t="s">
        <v>96</v>
      </c>
      <c r="C24" t="s">
        <v>99</v>
      </c>
    </row>
    <row r="25" spans="2:12">
      <c r="B25" t="s">
        <v>97</v>
      </c>
      <c r="C25" t="s">
        <v>98</v>
      </c>
      <c r="J25" t="s">
        <v>198</v>
      </c>
      <c r="K25" s="20">
        <f>K22-Model!H41-K23</f>
        <v>11293</v>
      </c>
      <c r="L25" s="51" t="s">
        <v>199</v>
      </c>
    </row>
    <row r="26" spans="2:12">
      <c r="C26" t="s">
        <v>100</v>
      </c>
      <c r="J26" t="s">
        <v>197</v>
      </c>
      <c r="K26" s="17">
        <f>K25/K4</f>
        <v>0.14270009350754378</v>
      </c>
      <c r="L26" s="51" t="s">
        <v>200</v>
      </c>
    </row>
    <row r="27" spans="2:12">
      <c r="J27" t="s">
        <v>201</v>
      </c>
      <c r="K27" s="2">
        <f>K26/K3</f>
        <v>1.5393753344934605E-2</v>
      </c>
      <c r="L27" s="51" t="s">
        <v>247</v>
      </c>
    </row>
    <row r="28" spans="2:12">
      <c r="B28" s="5" t="s">
        <v>102</v>
      </c>
    </row>
    <row r="29" spans="2:12">
      <c r="B29" t="s">
        <v>103</v>
      </c>
      <c r="J29" t="s">
        <v>202</v>
      </c>
      <c r="K29" s="20">
        <f>K22-K23</f>
        <v>206390</v>
      </c>
    </row>
    <row r="30" spans="2:12">
      <c r="B30" t="s">
        <v>93</v>
      </c>
      <c r="J30" t="s">
        <v>203</v>
      </c>
      <c r="K30" s="17">
        <f>K29/K4</f>
        <v>2.6079759407617074</v>
      </c>
    </row>
    <row r="31" spans="2:12">
      <c r="B31" t="s">
        <v>249</v>
      </c>
      <c r="J31" t="s">
        <v>207</v>
      </c>
      <c r="K31" s="52">
        <f>K30/K3</f>
        <v>0.28133505294085304</v>
      </c>
    </row>
    <row r="32" spans="2:12">
      <c r="J32" t="s">
        <v>204</v>
      </c>
      <c r="K32" s="17">
        <f>K5/K29</f>
        <v>3.5544806434420271</v>
      </c>
      <c r="L32" s="19" t="s">
        <v>208</v>
      </c>
    </row>
    <row r="34" spans="2:3">
      <c r="B34" t="s">
        <v>143</v>
      </c>
      <c r="C34" t="s">
        <v>145</v>
      </c>
    </row>
    <row r="35" spans="2:3">
      <c r="B35" t="s">
        <v>144</v>
      </c>
      <c r="C35" t="s">
        <v>146</v>
      </c>
    </row>
    <row r="36" spans="2:3">
      <c r="B36" t="s">
        <v>147</v>
      </c>
      <c r="C3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77F4-957E-FF46-BD87-D2060A12B31C}">
  <dimension ref="A1:JC60"/>
  <sheetViews>
    <sheetView tabSelected="1" zoomScale="12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29" sqref="H29"/>
    </sheetView>
  </sheetViews>
  <sheetFormatPr baseColWidth="10" defaultRowHeight="13"/>
  <cols>
    <col min="1" max="1" width="4.83203125" bestFit="1" customWidth="1"/>
    <col min="2" max="2" width="27" customWidth="1"/>
    <col min="3" max="4" width="10.83203125" customWidth="1"/>
    <col min="9" max="9" width="10.83203125" customWidth="1"/>
    <col min="10" max="10" width="19.33203125" customWidth="1"/>
    <col min="11" max="11" width="20.83203125" bestFit="1" customWidth="1"/>
    <col min="12" max="12" width="10.83203125" customWidth="1"/>
    <col min="13" max="13" width="16.1640625" customWidth="1"/>
    <col min="14" max="14" width="15.1640625" customWidth="1"/>
    <col min="15" max="17" width="10.83203125" customWidth="1"/>
    <col min="18" max="263" width="11.33203125" bestFit="1" customWidth="1"/>
  </cols>
  <sheetData>
    <row r="1" spans="1:16">
      <c r="A1" s="32" t="s">
        <v>126</v>
      </c>
      <c r="E1" s="33"/>
      <c r="F1" s="33"/>
      <c r="G1" s="33"/>
      <c r="H1" s="33"/>
    </row>
    <row r="2" spans="1:16">
      <c r="B2" s="20"/>
      <c r="C2" s="33" t="s">
        <v>136</v>
      </c>
      <c r="D2" s="33" t="s">
        <v>137</v>
      </c>
      <c r="E2" s="33" t="s">
        <v>127</v>
      </c>
      <c r="F2" s="33" t="s">
        <v>128</v>
      </c>
      <c r="G2" s="33" t="s">
        <v>129</v>
      </c>
      <c r="H2" s="33" t="s">
        <v>130</v>
      </c>
      <c r="I2" s="33" t="s">
        <v>213</v>
      </c>
      <c r="J2" s="33" t="s">
        <v>214</v>
      </c>
      <c r="K2" s="33" t="s">
        <v>215</v>
      </c>
      <c r="L2" s="33" t="s">
        <v>216</v>
      </c>
      <c r="M2" s="33" t="s">
        <v>217</v>
      </c>
      <c r="N2" s="33" t="s">
        <v>218</v>
      </c>
      <c r="O2" s="33"/>
      <c r="P2" s="33"/>
    </row>
    <row r="3" spans="1:16" s="25" customFormat="1">
      <c r="A3" s="5"/>
      <c r="B3" s="25" t="s">
        <v>111</v>
      </c>
      <c r="C3" s="25">
        <v>599922</v>
      </c>
      <c r="D3" s="25">
        <v>620375</v>
      </c>
      <c r="E3" s="25">
        <v>775639</v>
      </c>
      <c r="F3" s="25">
        <v>816276</v>
      </c>
      <c r="G3" s="25">
        <v>848179</v>
      </c>
      <c r="H3" s="25">
        <v>1008970</v>
      </c>
      <c r="I3" s="25">
        <f>H3*1.05</f>
        <v>1059418.5</v>
      </c>
      <c r="J3" s="25">
        <f t="shared" ref="J3:M3" si="0">I3*1.05</f>
        <v>1112389.425</v>
      </c>
      <c r="K3" s="25">
        <f t="shared" si="0"/>
        <v>1168008.89625</v>
      </c>
      <c r="L3" s="25">
        <f t="shared" si="0"/>
        <v>1226409.3410625001</v>
      </c>
      <c r="M3" s="25">
        <f t="shared" si="0"/>
        <v>1287729.8081156253</v>
      </c>
      <c r="N3" s="25">
        <f>M3*1.05</f>
        <v>1352116.2985214067</v>
      </c>
    </row>
    <row r="4" spans="1:16" s="20" customFormat="1">
      <c r="A4"/>
      <c r="B4" s="20" t="s">
        <v>112</v>
      </c>
      <c r="C4" s="20">
        <v>514299</v>
      </c>
      <c r="D4" s="20">
        <v>527274</v>
      </c>
      <c r="E4" s="20">
        <v>666454</v>
      </c>
      <c r="F4" s="20">
        <v>693336</v>
      </c>
      <c r="G4" s="20">
        <v>719534</v>
      </c>
      <c r="H4" s="20">
        <v>867306</v>
      </c>
      <c r="J4" s="25"/>
    </row>
    <row r="5" spans="1:16" s="20" customFormat="1">
      <c r="A5"/>
      <c r="B5" s="20" t="s">
        <v>113</v>
      </c>
      <c r="C5" s="20">
        <f t="shared" ref="C5:H5" si="1">C3-C4</f>
        <v>85623</v>
      </c>
      <c r="D5" s="20">
        <f t="shared" si="1"/>
        <v>93101</v>
      </c>
      <c r="E5" s="20">
        <f t="shared" si="1"/>
        <v>109185</v>
      </c>
      <c r="F5" s="20">
        <f t="shared" si="1"/>
        <v>122940</v>
      </c>
      <c r="G5" s="20">
        <f t="shared" si="1"/>
        <v>128645</v>
      </c>
      <c r="H5" s="20">
        <f t="shared" si="1"/>
        <v>141664</v>
      </c>
    </row>
    <row r="6" spans="1:16" s="20" customFormat="1">
      <c r="A6"/>
    </row>
    <row r="7" spans="1:16" s="20" customFormat="1">
      <c r="A7"/>
      <c r="B7" s="20" t="s">
        <v>115</v>
      </c>
      <c r="C7" s="20">
        <v>58178</v>
      </c>
      <c r="D7" s="20">
        <v>60194</v>
      </c>
      <c r="E7" s="20">
        <v>68055</v>
      </c>
      <c r="F7" s="20">
        <v>76711</v>
      </c>
      <c r="G7" s="20">
        <v>74649</v>
      </c>
      <c r="H7" s="20">
        <v>84459</v>
      </c>
    </row>
    <row r="8" spans="1:16" s="20" customFormat="1">
      <c r="A8"/>
      <c r="B8" s="20" t="s">
        <v>114</v>
      </c>
      <c r="C8" s="20">
        <v>0</v>
      </c>
      <c r="D8" s="20">
        <v>0</v>
      </c>
      <c r="E8" s="20">
        <v>0</v>
      </c>
      <c r="F8" s="20">
        <v>3655</v>
      </c>
      <c r="G8" s="20">
        <v>3865</v>
      </c>
      <c r="H8" s="20">
        <v>4165</v>
      </c>
    </row>
    <row r="9" spans="1:16" s="20" customFormat="1">
      <c r="A9"/>
      <c r="B9" s="20" t="s">
        <v>125</v>
      </c>
      <c r="C9" s="20">
        <v>-96</v>
      </c>
      <c r="D9" s="20">
        <v>39</v>
      </c>
      <c r="E9" s="20">
        <v>-11</v>
      </c>
      <c r="F9" s="20">
        <v>-95</v>
      </c>
      <c r="G9" s="20">
        <v>154</v>
      </c>
      <c r="H9" s="20">
        <v>199</v>
      </c>
    </row>
    <row r="10" spans="1:16" s="25" customFormat="1">
      <c r="A10" s="5"/>
      <c r="B10" s="25" t="s">
        <v>116</v>
      </c>
      <c r="C10" s="25">
        <f t="shared" ref="C10:H10" si="2">C5-C7-C9+C8</f>
        <v>27541</v>
      </c>
      <c r="D10" s="25">
        <f t="shared" si="2"/>
        <v>32868</v>
      </c>
      <c r="E10" s="25">
        <f t="shared" si="2"/>
        <v>41141</v>
      </c>
      <c r="F10" s="25">
        <f t="shared" si="2"/>
        <v>49979</v>
      </c>
      <c r="G10" s="25">
        <f t="shared" si="2"/>
        <v>57707</v>
      </c>
      <c r="H10" s="25">
        <f t="shared" si="2"/>
        <v>61171</v>
      </c>
      <c r="I10" s="25">
        <f>I3*(1+$N$26)</f>
        <v>1112389.425</v>
      </c>
      <c r="J10" s="25">
        <f t="shared" ref="J10:N10" si="3">J3*(1+$N$26)</f>
        <v>1168008.89625</v>
      </c>
      <c r="K10" s="25">
        <f t="shared" si="3"/>
        <v>1226409.3410625001</v>
      </c>
      <c r="L10" s="25">
        <f t="shared" si="3"/>
        <v>1287729.8081156253</v>
      </c>
      <c r="M10" s="25">
        <f t="shared" si="3"/>
        <v>1352116.2985214067</v>
      </c>
      <c r="N10" s="25">
        <f t="shared" si="3"/>
        <v>1419722.1134474771</v>
      </c>
    </row>
    <row r="11" spans="1:16" s="25" customFormat="1">
      <c r="A11" s="5"/>
    </row>
    <row r="12" spans="1:16" s="20" customFormat="1">
      <c r="A12"/>
      <c r="B12" s="20" t="s">
        <v>117</v>
      </c>
      <c r="C12" s="20">
        <v>50</v>
      </c>
      <c r="D12" s="20">
        <v>44</v>
      </c>
      <c r="E12" s="20">
        <v>19</v>
      </c>
      <c r="F12" s="20">
        <v>16</v>
      </c>
      <c r="G12" s="20">
        <v>360</v>
      </c>
      <c r="H12" s="20">
        <v>791</v>
      </c>
      <c r="J12" s="25"/>
    </row>
    <row r="13" spans="1:16" s="20" customFormat="1">
      <c r="A13"/>
      <c r="B13" s="20" t="s">
        <v>118</v>
      </c>
      <c r="C13" s="20">
        <v>1244</v>
      </c>
      <c r="D13" s="20">
        <v>1343</v>
      </c>
      <c r="E13" s="20">
        <v>836</v>
      </c>
      <c r="F13" s="20">
        <v>573</v>
      </c>
      <c r="G13" s="20">
        <v>1285</v>
      </c>
      <c r="H13" s="20">
        <v>1828</v>
      </c>
    </row>
    <row r="14" spans="1:16" s="20" customFormat="1">
      <c r="A14"/>
      <c r="B14" s="20" t="s">
        <v>119</v>
      </c>
      <c r="C14" s="20">
        <v>615</v>
      </c>
      <c r="D14" s="20">
        <v>532</v>
      </c>
      <c r="E14" s="20">
        <v>428</v>
      </c>
      <c r="F14" s="20">
        <v>33</v>
      </c>
      <c r="G14" s="20">
        <v>66</v>
      </c>
      <c r="H14" s="20">
        <v>90</v>
      </c>
    </row>
    <row r="15" spans="1:16" s="35" customFormat="1">
      <c r="A15" s="34"/>
      <c r="B15" s="35" t="s">
        <v>120</v>
      </c>
      <c r="C15" s="35">
        <f t="shared" ref="C15:H15" si="4">C10+C12-C13+C14</f>
        <v>26962</v>
      </c>
      <c r="D15" s="35">
        <f t="shared" si="4"/>
        <v>32101</v>
      </c>
      <c r="E15" s="35">
        <f t="shared" si="4"/>
        <v>40752</v>
      </c>
      <c r="F15" s="35">
        <f t="shared" si="4"/>
        <v>49455</v>
      </c>
      <c r="G15" s="35">
        <f t="shared" si="4"/>
        <v>56848</v>
      </c>
      <c r="H15" s="35">
        <f t="shared" si="4"/>
        <v>60224</v>
      </c>
      <c r="J15" s="20"/>
      <c r="N15" s="67"/>
    </row>
    <row r="16" spans="1:16" s="25" customFormat="1">
      <c r="A16" s="5"/>
      <c r="J16" s="35"/>
    </row>
    <row r="17" spans="1:263" s="20" customFormat="1">
      <c r="A17"/>
      <c r="B17" s="20" t="s">
        <v>122</v>
      </c>
      <c r="C17" s="20">
        <v>4705</v>
      </c>
      <c r="D17" s="20">
        <v>5759</v>
      </c>
      <c r="E17" s="20">
        <v>8669</v>
      </c>
      <c r="F17" s="20">
        <v>9548</v>
      </c>
      <c r="G17" s="20">
        <v>10742</v>
      </c>
      <c r="H17" s="20">
        <v>16213</v>
      </c>
      <c r="J17" s="25"/>
    </row>
    <row r="18" spans="1:263" s="20" customFormat="1">
      <c r="A18"/>
      <c r="B18" s="20" t="s">
        <v>123</v>
      </c>
      <c r="C18" s="20">
        <f t="shared" ref="C18:H18" si="5">C15-C17</f>
        <v>22257</v>
      </c>
      <c r="D18" s="20">
        <f t="shared" si="5"/>
        <v>26342</v>
      </c>
      <c r="E18" s="20">
        <f t="shared" si="5"/>
        <v>32083</v>
      </c>
      <c r="F18" s="20">
        <f t="shared" si="5"/>
        <v>39907</v>
      </c>
      <c r="G18" s="20">
        <f t="shared" si="5"/>
        <v>46106</v>
      </c>
      <c r="H18" s="20">
        <f t="shared" si="5"/>
        <v>44011</v>
      </c>
    </row>
    <row r="19" spans="1:263" s="20" customFormat="1">
      <c r="A19"/>
      <c r="B19" s="20" t="s">
        <v>124</v>
      </c>
      <c r="C19" s="20">
        <v>0</v>
      </c>
      <c r="D19" s="20">
        <v>5590</v>
      </c>
      <c r="E19" s="20">
        <v>1620</v>
      </c>
      <c r="F19" s="20">
        <v>2242</v>
      </c>
      <c r="G19" s="20">
        <v>2722</v>
      </c>
      <c r="H19" s="20">
        <v>2440</v>
      </c>
    </row>
    <row r="20" spans="1:263" s="20" customFormat="1">
      <c r="A20" s="5"/>
      <c r="B20" s="25" t="s">
        <v>121</v>
      </c>
      <c r="C20" s="25">
        <f t="shared" ref="C20:H20" si="6">C18-C19</f>
        <v>22257</v>
      </c>
      <c r="D20" s="25">
        <f t="shared" si="6"/>
        <v>20752</v>
      </c>
      <c r="E20" s="25">
        <f t="shared" si="6"/>
        <v>30463</v>
      </c>
      <c r="F20" s="25">
        <f t="shared" si="6"/>
        <v>37665</v>
      </c>
      <c r="G20" s="25">
        <f t="shared" si="6"/>
        <v>43384</v>
      </c>
      <c r="H20" s="25">
        <f t="shared" si="6"/>
        <v>41571</v>
      </c>
      <c r="I20" s="25">
        <f>I3*0.03</f>
        <v>31782.555</v>
      </c>
      <c r="J20" s="25">
        <f t="shared" ref="J20:N20" si="7">J3*0.03</f>
        <v>33371.68275</v>
      </c>
      <c r="K20" s="25">
        <f t="shared" si="7"/>
        <v>35040.266887500002</v>
      </c>
      <c r="L20" s="25">
        <f t="shared" si="7"/>
        <v>36792.280231875004</v>
      </c>
      <c r="M20" s="25">
        <f t="shared" si="7"/>
        <v>38631.894243468756</v>
      </c>
      <c r="N20" s="25">
        <f t="shared" si="7"/>
        <v>40563.488955642199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</row>
    <row r="21" spans="1:263" s="20" customFormat="1">
      <c r="A21" s="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</row>
    <row r="22" spans="1:263" s="35" customFormat="1">
      <c r="A22" s="34"/>
      <c r="B22" s="35" t="s">
        <v>209</v>
      </c>
      <c r="C22" s="35">
        <v>23441</v>
      </c>
      <c r="D22" s="35">
        <v>51854</v>
      </c>
      <c r="E22" s="35">
        <f>39167</f>
        <v>39167</v>
      </c>
      <c r="F22" s="35">
        <f>57163</f>
        <v>57163</v>
      </c>
      <c r="G22" s="35">
        <v>53777</v>
      </c>
      <c r="H22" s="35">
        <f>44435</f>
        <v>44435</v>
      </c>
      <c r="J22" s="25"/>
    </row>
    <row r="23" spans="1:263" s="35" customFormat="1">
      <c r="A23" s="34"/>
      <c r="B23" s="35" t="s">
        <v>210</v>
      </c>
      <c r="C23" s="35">
        <f>2619</f>
        <v>2619</v>
      </c>
      <c r="D23" s="35">
        <v>3756</v>
      </c>
      <c r="E23" s="35">
        <f>4042</f>
        <v>4042</v>
      </c>
      <c r="F23" s="35">
        <f>5056</f>
        <v>5056</v>
      </c>
      <c r="G23" s="35">
        <v>5414</v>
      </c>
      <c r="H23" s="35">
        <v>6146</v>
      </c>
    </row>
    <row r="24" spans="1:263" s="20" customFormat="1">
      <c r="A24" s="5"/>
      <c r="B24" s="25" t="s">
        <v>211</v>
      </c>
      <c r="C24" s="25">
        <f t="shared" ref="C24:F24" si="8">C22-C23</f>
        <v>20822</v>
      </c>
      <c r="D24" s="25">
        <f t="shared" si="8"/>
        <v>48098</v>
      </c>
      <c r="E24" s="25">
        <f t="shared" si="8"/>
        <v>35125</v>
      </c>
      <c r="F24" s="25">
        <f t="shared" si="8"/>
        <v>52107</v>
      </c>
      <c r="G24" s="25">
        <f>G22-G23</f>
        <v>48363</v>
      </c>
      <c r="H24" s="25">
        <f>H22-H23</f>
        <v>38289</v>
      </c>
      <c r="I24" s="25">
        <f>I20*1.13</f>
        <v>35914.287149999996</v>
      </c>
      <c r="J24" s="25">
        <f t="shared" ref="J24:N24" si="9">J20*1.13</f>
        <v>37710.001507499997</v>
      </c>
      <c r="K24" s="25">
        <f t="shared" si="9"/>
        <v>39595.501582874997</v>
      </c>
      <c r="L24" s="25">
        <f t="shared" si="9"/>
        <v>41575.276662018747</v>
      </c>
      <c r="M24" s="25">
        <f t="shared" si="9"/>
        <v>43654.040495119691</v>
      </c>
      <c r="N24" s="25">
        <f t="shared" si="9"/>
        <v>45836.742519875683</v>
      </c>
      <c r="O24" s="25">
        <f>N24*(1+$N$27)</f>
        <v>46753.477370273198</v>
      </c>
      <c r="P24" s="25">
        <f>O24*(1+$N$27)</f>
        <v>47688.546917678665</v>
      </c>
      <c r="Q24" s="25">
        <f>P24*(1+$N$27)</f>
        <v>48642.317856032241</v>
      </c>
      <c r="R24" s="25">
        <f>Q24*(1+$N$27)</f>
        <v>49615.164213152886</v>
      </c>
      <c r="S24" s="25">
        <f>R24*(1+$N$27)</f>
        <v>50607.467497415942</v>
      </c>
      <c r="T24" s="25">
        <f>S24*(1+$N$27)</f>
        <v>51619.616847364261</v>
      </c>
      <c r="U24" s="25">
        <f>T24*(1+$N$27)</f>
        <v>52652.009184311544</v>
      </c>
      <c r="V24" s="25">
        <f>U24*(1+$N$27)</f>
        <v>53705.049367997774</v>
      </c>
      <c r="W24" s="25">
        <f>V24*(1+$N$27)</f>
        <v>54779.150355357728</v>
      </c>
      <c r="X24" s="25">
        <f>W24*(1+$N$27)</f>
        <v>55874.733362464882</v>
      </c>
      <c r="Y24" s="25">
        <f>X24*(1+$N$27)</f>
        <v>56992.228029714177</v>
      </c>
      <c r="Z24" s="25">
        <f>Y24*(1+$N$27)</f>
        <v>58132.07259030846</v>
      </c>
      <c r="AA24" s="25">
        <f>Z24*(1+$N$27)</f>
        <v>59294.714042114632</v>
      </c>
      <c r="AB24" s="25">
        <f>AA24*(1+$N$27)</f>
        <v>60480.608322956927</v>
      </c>
      <c r="AC24" s="25">
        <f>AB24*(1+$N$27)</f>
        <v>61690.220489416068</v>
      </c>
      <c r="AD24" s="25">
        <f>AC24*(1+$N$27)</f>
        <v>62924.024899204393</v>
      </c>
      <c r="AE24" s="25">
        <f>AD24*(1+$N$27)</f>
        <v>64182.505397188484</v>
      </c>
      <c r="AF24" s="25">
        <f>AE24*(1+$N$27)</f>
        <v>65466.155505132258</v>
      </c>
      <c r="AG24" s="25">
        <f>AF24*(1+$N$27)</f>
        <v>66775.478615234897</v>
      </c>
      <c r="AH24" s="25">
        <f>AG24*(1+$N$27)</f>
        <v>68110.988187539595</v>
      </c>
      <c r="AI24" s="25">
        <f>AH24*(1+$N$27)</f>
        <v>69473.207951290387</v>
      </c>
      <c r="AJ24" s="25">
        <f>AI24*(1+$N$27)</f>
        <v>70862.672110316198</v>
      </c>
      <c r="AK24" s="25">
        <f>AJ24*(1+$N$27)</f>
        <v>72279.925552522516</v>
      </c>
      <c r="AL24" s="25">
        <f>AK24*(1+$N$27)</f>
        <v>73725.524063572971</v>
      </c>
      <c r="AM24" s="25">
        <f>AL24*(1+$N$27)</f>
        <v>75200.034544844428</v>
      </c>
      <c r="AN24" s="25">
        <f>AM24*(1+$N$27)</f>
        <v>76704.035235741321</v>
      </c>
      <c r="AO24" s="25">
        <f>AN24*(1+$N$27)</f>
        <v>78238.115940456148</v>
      </c>
      <c r="AP24" s="25">
        <f>AO24*(1+$N$27)</f>
        <v>79802.878259265271</v>
      </c>
      <c r="AQ24" s="25">
        <f>AP24*(1+$N$27)</f>
        <v>81398.935824450571</v>
      </c>
      <c r="AR24" s="25">
        <f>AQ24*(1+$N$27)</f>
        <v>83026.914540939586</v>
      </c>
      <c r="AS24" s="25">
        <f>AR24*(1+$N$27)</f>
        <v>84687.452831758375</v>
      </c>
      <c r="AT24" s="25">
        <f>AS24*(1+$N$27)</f>
        <v>86381.201888393538</v>
      </c>
      <c r="AU24" s="25">
        <f>AT24*(1+$N$27)</f>
        <v>88108.825926161415</v>
      </c>
      <c r="AV24" s="25">
        <f>AU24*(1+$N$27)</f>
        <v>89871.002444684651</v>
      </c>
      <c r="AW24" s="25">
        <f>AV24*(1+$N$27)</f>
        <v>91668.422493578342</v>
      </c>
      <c r="AX24" s="25">
        <f>AW24*(1+$N$27)</f>
        <v>93501.790943449916</v>
      </c>
      <c r="AY24" s="25">
        <f>AX24*(1+$N$27)</f>
        <v>95371.826762318917</v>
      </c>
      <c r="AZ24" s="25">
        <f>AY24*(1+$N$27)</f>
        <v>97279.263297565296</v>
      </c>
      <c r="BA24" s="25">
        <f>AZ24*(1+$N$27)</f>
        <v>99224.8485635166</v>
      </c>
      <c r="BB24" s="25">
        <f>BA24*(1+$N$27)</f>
        <v>101209.34553478693</v>
      </c>
      <c r="BC24" s="25">
        <f>BB24*(1+$N$27)</f>
        <v>103233.53244548268</v>
      </c>
      <c r="BD24" s="25">
        <f>BC24*(1+$N$27)</f>
        <v>105298.20309439233</v>
      </c>
      <c r="BE24" s="25">
        <f>BD24*(1+$N$27)</f>
        <v>107404.16715628018</v>
      </c>
      <c r="BF24" s="25">
        <f>BE24*(1+$N$27)</f>
        <v>109552.25049940578</v>
      </c>
      <c r="BG24" s="25">
        <f>BF24*(1+$N$27)</f>
        <v>111743.29550939389</v>
      </c>
      <c r="BH24" s="25">
        <f>BG24*(1+$N$27)</f>
        <v>113978.16141958177</v>
      </c>
      <c r="BI24" s="25">
        <f>BH24*(1+$N$27)</f>
        <v>116257.7246479734</v>
      </c>
      <c r="BJ24" s="25">
        <f>BI24*(1+$N$27)</f>
        <v>118582.87914093287</v>
      </c>
      <c r="BK24" s="25">
        <f>BJ24*(1+$N$27)</f>
        <v>120954.53672375153</v>
      </c>
      <c r="BL24" s="25">
        <f>BK24*(1+$N$27)</f>
        <v>123373.62745822656</v>
      </c>
      <c r="BM24" s="25">
        <f>BL24*(1+$N$27)</f>
        <v>125841.1000073911</v>
      </c>
      <c r="BN24" s="25">
        <f>BM24*(1+$N$27)</f>
        <v>128357.92200753892</v>
      </c>
      <c r="BO24" s="25">
        <f>BN24*(1+$N$27)</f>
        <v>130925.0804476897</v>
      </c>
      <c r="BP24" s="25">
        <f>BO24*(1+$N$27)</f>
        <v>133543.5820566435</v>
      </c>
      <c r="BQ24" s="25">
        <f>BP24*(1+$N$27)</f>
        <v>136214.45369777636</v>
      </c>
      <c r="BR24" s="25">
        <f>BQ24*(1+$N$27)</f>
        <v>138938.74277173189</v>
      </c>
      <c r="BS24" s="25">
        <f>BR24*(1+$N$27)</f>
        <v>141717.51762716653</v>
      </c>
      <c r="BT24" s="25">
        <f>BS24*(1+$N$27)</f>
        <v>144551.86797970984</v>
      </c>
      <c r="BU24" s="25">
        <f>BT24*(1+$N$27)</f>
        <v>147442.90533930404</v>
      </c>
      <c r="BV24" s="25">
        <f>BU24*(1+$N$27)</f>
        <v>150391.76344609013</v>
      </c>
      <c r="BW24" s="25">
        <f>BV24*(1+$N$27)</f>
        <v>153399.59871501193</v>
      </c>
      <c r="BX24" s="25">
        <f>BW24*(1+$N$27)</f>
        <v>156467.59068931217</v>
      </c>
      <c r="BY24" s="25">
        <f>BX24*(1+$N$27)</f>
        <v>159596.94250309843</v>
      </c>
      <c r="BZ24" s="25">
        <f>BY24*(1+$N$27)</f>
        <v>162788.8813531604</v>
      </c>
      <c r="CA24" s="25">
        <f>BZ24*(1+$N$27)</f>
        <v>166044.65898022361</v>
      </c>
      <c r="CB24" s="25">
        <f>CA24*(1+$N$27)</f>
        <v>169365.55215982808</v>
      </c>
      <c r="CC24" s="25">
        <f>CB24*(1+$N$27)</f>
        <v>172752.86320302464</v>
      </c>
      <c r="CD24" s="25">
        <f>CC24*(1+$N$27)</f>
        <v>176207.92046708515</v>
      </c>
      <c r="CE24" s="25">
        <f>CD24*(1+$N$27)</f>
        <v>179732.07887642685</v>
      </c>
      <c r="CF24" s="25">
        <f>CE24*(1+$N$27)</f>
        <v>183326.72045395538</v>
      </c>
      <c r="CG24" s="25">
        <f>CF24*(1+$N$27)</f>
        <v>186993.2548630345</v>
      </c>
      <c r="CH24" s="25">
        <f>CG24*(1+$N$27)</f>
        <v>190733.11996029518</v>
      </c>
      <c r="CI24" s="25">
        <f>CH24*(1+$N$27)</f>
        <v>194547.78235950109</v>
      </c>
      <c r="CJ24" s="25">
        <f>CI24*(1+$N$27)</f>
        <v>198438.7380066911</v>
      </c>
      <c r="CK24" s="25">
        <f>CJ24*(1+$N$27)</f>
        <v>202407.51276682492</v>
      </c>
      <c r="CL24" s="25">
        <f>CK24*(1+$N$27)</f>
        <v>206455.66302216143</v>
      </c>
      <c r="CM24" s="25">
        <f>CL24*(1+$N$27)</f>
        <v>210584.77628260467</v>
      </c>
      <c r="CN24" s="25">
        <f>CM24*(1+$N$27)</f>
        <v>214796.47180825676</v>
      </c>
      <c r="CO24" s="25">
        <f>CN24*(1+$N$27)</f>
        <v>219092.4012444219</v>
      </c>
      <c r="CP24" s="25">
        <f>CO24*(1+$N$27)</f>
        <v>223474.24926931033</v>
      </c>
      <c r="CQ24" s="25">
        <f>CP24*(1+$N$27)</f>
        <v>227943.73425469652</v>
      </c>
      <c r="CR24" s="25">
        <f>CQ24*(1+$N$27)</f>
        <v>232502.60893979046</v>
      </c>
      <c r="CS24" s="25">
        <f>CR24*(1+$N$27)</f>
        <v>237152.66111858629</v>
      </c>
      <c r="CT24" s="25">
        <f>CS24*(1+$N$27)</f>
        <v>241895.71434095802</v>
      </c>
      <c r="CU24" s="25">
        <f>CT24*(1+$N$27)</f>
        <v>246733.62862777719</v>
      </c>
      <c r="CV24" s="25">
        <f>CU24*(1+$N$27)</f>
        <v>251668.30120033273</v>
      </c>
      <c r="CW24" s="25">
        <f>CV24*(1+$N$27)</f>
        <v>256701.66722433938</v>
      </c>
      <c r="CX24" s="25">
        <f>CW24*(1+$N$27)</f>
        <v>261835.70056882617</v>
      </c>
      <c r="CY24" s="25">
        <f>CX24*(1+$N$27)</f>
        <v>267072.41458020272</v>
      </c>
      <c r="CZ24" s="25">
        <f>CY24*(1+$N$27)</f>
        <v>272413.86287180678</v>
      </c>
      <c r="DA24" s="25">
        <f>CZ24*(1+$N$27)</f>
        <v>277862.14012924291</v>
      </c>
      <c r="DB24" s="25">
        <f>DA24*(1+$N$27)</f>
        <v>283419.38293182774</v>
      </c>
      <c r="DC24" s="25">
        <f>DB24*(1+$N$27)</f>
        <v>289087.77059046429</v>
      </c>
      <c r="DD24" s="25">
        <f>DC24*(1+$N$27)</f>
        <v>294869.5260022736</v>
      </c>
      <c r="DE24" s="25">
        <f>DD24*(1+$N$27)</f>
        <v>300766.91652231908</v>
      </c>
      <c r="DF24" s="25">
        <f>DE24*(1+$N$27)</f>
        <v>306782.25485276547</v>
      </c>
      <c r="DG24" s="25">
        <f>DF24*(1+$N$27)</f>
        <v>312917.89994982077</v>
      </c>
      <c r="DH24" s="25">
        <f>DG24*(1+$N$27)</f>
        <v>319176.25794881722</v>
      </c>
      <c r="DI24" s="25">
        <f>DH24*(1+$N$27)</f>
        <v>325559.78310779354</v>
      </c>
      <c r="DJ24" s="25">
        <f>DI24*(1+$N$27)</f>
        <v>332070.9787699494</v>
      </c>
      <c r="DK24" s="25">
        <f>DJ24*(1+$N$27)</f>
        <v>338712.39834534843</v>
      </c>
      <c r="DL24" s="25">
        <f>DK24*(1+$N$27)</f>
        <v>345486.64631225541</v>
      </c>
      <c r="DM24" s="25">
        <f>DL24*(1+$N$27)</f>
        <v>352396.37923850055</v>
      </c>
      <c r="DN24" s="25">
        <f>DM24*(1+$N$27)</f>
        <v>359444.30682327057</v>
      </c>
      <c r="DO24" s="25">
        <f>DN24*(1+$N$27)</f>
        <v>366633.19295973598</v>
      </c>
      <c r="DP24" s="25">
        <f>DO24*(1+$N$27)</f>
        <v>373965.85681893071</v>
      </c>
      <c r="DQ24" s="25">
        <f>DP24*(1+$N$27)</f>
        <v>381445.17395530932</v>
      </c>
      <c r="DR24" s="25">
        <f>DQ24*(1+$N$27)</f>
        <v>389074.07743441552</v>
      </c>
      <c r="DS24" s="25">
        <f>DR24*(1+$N$27)</f>
        <v>396855.55898310384</v>
      </c>
      <c r="DT24" s="25">
        <f>DS24*(1+$N$27)</f>
        <v>404792.67016276595</v>
      </c>
      <c r="DU24" s="25">
        <f>DT24*(1+$N$27)</f>
        <v>412888.52356602129</v>
      </c>
      <c r="DV24" s="25">
        <f>DU24*(1+$N$27)</f>
        <v>421146.29403734172</v>
      </c>
      <c r="DW24" s="25">
        <f>DV24*(1+$N$27)</f>
        <v>429569.21991808858</v>
      </c>
      <c r="DX24" s="25">
        <f>DW24*(1+$N$27)</f>
        <v>438160.60431645036</v>
      </c>
      <c r="DY24" s="25">
        <f>DX24*(1+$N$27)</f>
        <v>446923.81640277937</v>
      </c>
      <c r="DZ24" s="25">
        <f>DY24*(1+$N$27)</f>
        <v>455862.29273083498</v>
      </c>
      <c r="EA24" s="25">
        <f>DZ24*(1+$N$27)</f>
        <v>464979.53858545166</v>
      </c>
      <c r="EB24" s="25">
        <f>EA24*(1+$N$27)</f>
        <v>474279.12935716071</v>
      </c>
      <c r="EC24" s="25">
        <f>EB24*(1+$N$27)</f>
        <v>483764.71194430394</v>
      </c>
      <c r="ED24" s="25">
        <f>EC24*(1+$N$27)</f>
        <v>493440.00618319004</v>
      </c>
      <c r="EE24" s="25">
        <f>ED24*(1+$N$27)</f>
        <v>503308.80630685383</v>
      </c>
      <c r="EF24" s="25">
        <f>EE24*(1+$N$27)</f>
        <v>513374.98243299092</v>
      </c>
      <c r="EG24" s="25">
        <f>EF24*(1+$N$27)</f>
        <v>523642.48208165076</v>
      </c>
      <c r="EH24" s="25">
        <f>EG24*(1+$N$27)</f>
        <v>534115.33172328374</v>
      </c>
      <c r="EI24" s="25">
        <f>EH24*(1+$N$27)</f>
        <v>544797.63835774944</v>
      </c>
      <c r="EJ24" s="25">
        <f>EI24*(1+$N$27)</f>
        <v>555693.59112490446</v>
      </c>
      <c r="EK24" s="25">
        <f>EJ24*(1+$N$27)</f>
        <v>566807.46294740262</v>
      </c>
      <c r="EL24" s="25">
        <f>EK24*(1+$N$27)</f>
        <v>578143.61220635066</v>
      </c>
      <c r="EM24" s="25">
        <f>EL24*(1+$N$27)</f>
        <v>589706.48445047764</v>
      </c>
      <c r="EN24" s="25">
        <f>EM24*(1+$N$27)</f>
        <v>601500.61413948715</v>
      </c>
      <c r="EO24" s="25">
        <f>EN24*(1+$N$27)</f>
        <v>613530.62642227695</v>
      </c>
      <c r="EP24" s="25">
        <f>EO24*(1+$N$27)</f>
        <v>625801.2389507225</v>
      </c>
      <c r="EQ24" s="25">
        <f>EP24*(1+$N$27)</f>
        <v>638317.26372973691</v>
      </c>
      <c r="ER24" s="25">
        <f>EQ24*(1+$N$27)</f>
        <v>651083.60900433164</v>
      </c>
      <c r="ES24" s="25">
        <f>ER24*(1+$N$27)</f>
        <v>664105.28118441824</v>
      </c>
      <c r="ET24" s="25">
        <f>ES24*(1+$N$27)</f>
        <v>677387.38680810668</v>
      </c>
      <c r="EU24" s="25">
        <f>ET24*(1+$N$27)</f>
        <v>690935.13454426883</v>
      </c>
      <c r="EV24" s="25">
        <f>EU24*(1+$N$27)</f>
        <v>704753.83723515423</v>
      </c>
      <c r="EW24" s="25">
        <f>EV24*(1+$N$27)</f>
        <v>718848.91397985735</v>
      </c>
      <c r="EX24" s="25">
        <f>EW24*(1+$N$27)</f>
        <v>733225.89225945447</v>
      </c>
      <c r="EY24" s="25">
        <f>EX24*(1+$N$27)</f>
        <v>747890.41010464355</v>
      </c>
      <c r="EZ24" s="25">
        <f>EY24*(1+$N$27)</f>
        <v>762848.21830673644</v>
      </c>
      <c r="FA24" s="25">
        <f>EZ24*(1+$N$27)</f>
        <v>778105.18267287116</v>
      </c>
      <c r="FB24" s="25">
        <f>FA24*(1+$N$27)</f>
        <v>793667.28632632864</v>
      </c>
      <c r="FC24" s="25">
        <f>FB24*(1+$N$27)</f>
        <v>809540.63205285522</v>
      </c>
      <c r="FD24" s="25">
        <f>FC24*(1+$N$27)</f>
        <v>825731.44469391229</v>
      </c>
      <c r="FE24" s="25">
        <f>FD24*(1+$N$27)</f>
        <v>842246.0735877906</v>
      </c>
      <c r="FF24" s="25">
        <f>FE24*(1+$N$27)</f>
        <v>859090.99505954643</v>
      </c>
      <c r="FG24" s="25">
        <f>FF24*(1+$N$27)</f>
        <v>876272.81496073736</v>
      </c>
      <c r="FH24" s="25">
        <f>FG24*(1+$N$27)</f>
        <v>893798.2712599521</v>
      </c>
      <c r="FI24" s="25">
        <f>FH24*(1+$N$27)</f>
        <v>911674.23668515112</v>
      </c>
      <c r="FJ24" s="25">
        <f>FI24*(1+$N$27)</f>
        <v>929907.7214188542</v>
      </c>
      <c r="FK24" s="25">
        <f>FJ24*(1+$N$27)</f>
        <v>948505.87584723125</v>
      </c>
      <c r="FL24" s="25">
        <f>FK24*(1+$N$27)</f>
        <v>967475.9933641759</v>
      </c>
      <c r="FM24" s="25">
        <f>FL24*(1+$N$27)</f>
        <v>986825.51323145942</v>
      </c>
      <c r="FN24" s="25">
        <f>FM24*(1+$N$27)</f>
        <v>1006562.0234960886</v>
      </c>
      <c r="FO24" s="25">
        <f>FN24*(1+$N$27)</f>
        <v>1026693.2639660104</v>
      </c>
      <c r="FP24" s="25">
        <f>FO24*(1+$N$27)</f>
        <v>1047227.1292453307</v>
      </c>
      <c r="FQ24" s="25">
        <f>FP24*(1+$N$27)</f>
        <v>1068171.6718302374</v>
      </c>
      <c r="FR24" s="25">
        <f>FQ24*(1+$N$27)</f>
        <v>1089535.1052668421</v>
      </c>
      <c r="FS24" s="25">
        <f>FR24*(1+$N$27)</f>
        <v>1111325.8073721789</v>
      </c>
      <c r="FT24" s="25">
        <f>FS24*(1+$N$27)</f>
        <v>1133552.3235196224</v>
      </c>
      <c r="FU24" s="25">
        <f>FT24*(1+$N$27)</f>
        <v>1156223.3699900149</v>
      </c>
      <c r="FV24" s="25">
        <f>FU24*(1+$N$27)</f>
        <v>1179347.8373898154</v>
      </c>
      <c r="FW24" s="25">
        <f>FV24*(1+$N$27)</f>
        <v>1202934.7941376118</v>
      </c>
      <c r="FX24" s="25">
        <f>FW24*(1+$N$27)</f>
        <v>1226993.4900203641</v>
      </c>
      <c r="FY24" s="25">
        <f>FX24*(1+$N$27)</f>
        <v>1251533.3598207713</v>
      </c>
      <c r="FZ24" s="25">
        <f>FY24*(1+$N$27)</f>
        <v>1276564.0270171866</v>
      </c>
      <c r="GA24" s="25">
        <f>FZ24*(1+$N$27)</f>
        <v>1302095.3075575305</v>
      </c>
      <c r="GB24" s="25">
        <f>GA24*(1+$N$27)</f>
        <v>1328137.2137086811</v>
      </c>
      <c r="GC24" s="25">
        <f>GB24*(1+$N$27)</f>
        <v>1354699.9579828547</v>
      </c>
      <c r="GD24" s="25">
        <f>GC24*(1+$N$27)</f>
        <v>1381793.9571425118</v>
      </c>
      <c r="GE24" s="25">
        <f>GD24*(1+$N$27)</f>
        <v>1409429.836285362</v>
      </c>
      <c r="GF24" s="25">
        <f>GE24*(1+$N$27)</f>
        <v>1437618.4330110692</v>
      </c>
      <c r="GG24" s="25">
        <f>GF24*(1+$N$27)</f>
        <v>1466370.8016712905</v>
      </c>
      <c r="GH24" s="25">
        <f>GG24*(1+$N$27)</f>
        <v>1495698.2177047164</v>
      </c>
      <c r="GI24" s="25">
        <f>GH24*(1+$N$27)</f>
        <v>1525612.1820588107</v>
      </c>
      <c r="GJ24" s="25">
        <f>GI24*(1+$N$27)</f>
        <v>1556124.425699987</v>
      </c>
      <c r="GK24" s="25">
        <f>GJ24*(1+$N$27)</f>
        <v>1587246.9142139868</v>
      </c>
      <c r="GL24" s="25">
        <f>GK24*(1+$N$27)</f>
        <v>1618991.8524982666</v>
      </c>
      <c r="GM24" s="25">
        <f>GL24*(1+$N$27)</f>
        <v>1651371.6895482319</v>
      </c>
      <c r="GN24" s="25">
        <f>GM24*(1+$N$27)</f>
        <v>1684399.1233391967</v>
      </c>
      <c r="GO24" s="25">
        <f>GN24*(1+$N$27)</f>
        <v>1718087.1058059807</v>
      </c>
      <c r="GP24" s="25">
        <f>GO24*(1+$N$27)</f>
        <v>1752448.8479221005</v>
      </c>
      <c r="GQ24" s="25">
        <f>GP24*(1+$N$27)</f>
        <v>1787497.8248805425</v>
      </c>
      <c r="GR24" s="25">
        <f>GQ24*(1+$N$27)</f>
        <v>1823247.7813781532</v>
      </c>
      <c r="GS24" s="25">
        <f>GR24*(1+$N$27)</f>
        <v>1859712.7370057164</v>
      </c>
      <c r="GT24" s="25">
        <f>GS24*(1+$N$27)</f>
        <v>1896906.9917458307</v>
      </c>
      <c r="GU24" s="25">
        <f>GT24*(1+$N$27)</f>
        <v>1934845.1315807474</v>
      </c>
      <c r="GV24" s="25">
        <f>GU24*(1+$N$27)</f>
        <v>1973542.0342123625</v>
      </c>
      <c r="GW24" s="25">
        <f>GV24*(1+$N$27)</f>
        <v>2013012.8748966097</v>
      </c>
      <c r="GX24" s="25">
        <f>GW24*(1+$N$27)</f>
        <v>2053273.132394542</v>
      </c>
      <c r="GY24" s="25">
        <f>GX24*(1+$N$27)</f>
        <v>2094338.5950424329</v>
      </c>
      <c r="GZ24" s="25">
        <f>GY24*(1+$N$27)</f>
        <v>2136225.3669432816</v>
      </c>
      <c r="HA24" s="25">
        <f>GZ24*(1+$N$27)</f>
        <v>2178949.8742821473</v>
      </c>
      <c r="HB24" s="25">
        <f>HA24*(1+$N$27)</f>
        <v>2222528.8717677901</v>
      </c>
      <c r="HC24" s="25">
        <f>HB24*(1+$N$27)</f>
        <v>2266979.4492031457</v>
      </c>
      <c r="HD24" s="25">
        <f>HC24*(1+$N$27)</f>
        <v>2312319.0381872086</v>
      </c>
      <c r="HE24" s="25">
        <f>HD24*(1+$N$27)</f>
        <v>2358565.4189509526</v>
      </c>
      <c r="HF24" s="25">
        <f>HE24*(1+$N$27)</f>
        <v>2405736.7273299717</v>
      </c>
      <c r="HG24" s="25">
        <f>HF24*(1+$N$27)</f>
        <v>2453851.4618765712</v>
      </c>
      <c r="HH24" s="25">
        <f>HG24*(1+$N$27)</f>
        <v>2502928.4911141028</v>
      </c>
      <c r="HI24" s="25">
        <f>HH24*(1+$N$27)</f>
        <v>2552987.0609363848</v>
      </c>
      <c r="HJ24" s="25">
        <f>HI24*(1+$N$27)</f>
        <v>2604046.8021551124</v>
      </c>
      <c r="HK24" s="25">
        <f>HJ24*(1+$N$27)</f>
        <v>2656127.7381982147</v>
      </c>
      <c r="HL24" s="25">
        <f>HK24*(1+$N$27)</f>
        <v>2709250.2929621791</v>
      </c>
      <c r="HM24" s="25">
        <f>HL24*(1+$N$27)</f>
        <v>2763435.2988214227</v>
      </c>
      <c r="HN24" s="25">
        <f>HM24*(1+$N$27)</f>
        <v>2818704.0047978512</v>
      </c>
      <c r="HO24" s="25">
        <f>HN24*(1+$N$27)</f>
        <v>2875078.0848938082</v>
      </c>
      <c r="HP24" s="25">
        <f>HO24*(1+$N$27)</f>
        <v>2932579.6465916843</v>
      </c>
      <c r="HQ24" s="25">
        <f>HP24*(1+$N$27)</f>
        <v>2991231.2395235179</v>
      </c>
      <c r="HR24" s="25">
        <f>HQ24*(1+$N$27)</f>
        <v>3051055.8643139885</v>
      </c>
      <c r="HS24" s="25">
        <f>HR24*(1+$N$27)</f>
        <v>3112076.9816002683</v>
      </c>
      <c r="HT24" s="25">
        <f>HS24*(1+$N$27)</f>
        <v>3174318.5212322739</v>
      </c>
      <c r="HU24" s="25">
        <f>HT24*(1+$N$27)</f>
        <v>3237804.8916569194</v>
      </c>
      <c r="HV24" s="25">
        <f>HU24*(1+$N$27)</f>
        <v>3302560.9894900578</v>
      </c>
      <c r="HW24" s="25">
        <f>HV24*(1+$N$27)</f>
        <v>3368612.209279859</v>
      </c>
      <c r="HX24" s="25">
        <f>HW24*(1+$N$27)</f>
        <v>3435984.4534654561</v>
      </c>
      <c r="HY24" s="25">
        <f>HX24*(1+$N$27)</f>
        <v>3504704.1425347654</v>
      </c>
      <c r="HZ24" s="25">
        <f>HY24*(1+$N$27)</f>
        <v>3574798.225385461</v>
      </c>
      <c r="IA24" s="25">
        <f>HZ24*(1+$N$27)</f>
        <v>3646294.1898931703</v>
      </c>
      <c r="IB24" s="25">
        <f>IA24*(1+$N$27)</f>
        <v>3719220.0736910338</v>
      </c>
      <c r="IC24" s="25">
        <f>IB24*(1+$N$27)</f>
        <v>3793604.4751648544</v>
      </c>
      <c r="ID24" s="25">
        <f>IC24*(1+$N$27)</f>
        <v>3869476.5646681515</v>
      </c>
      <c r="IE24" s="25">
        <f>ID24*(1+$N$27)</f>
        <v>3946866.0959615149</v>
      </c>
      <c r="IF24" s="25">
        <f>IE24*(1+$N$27)</f>
        <v>4025803.4178807451</v>
      </c>
      <c r="IG24" s="25">
        <f>IF24*(1+$N$27)</f>
        <v>4106319.4862383599</v>
      </c>
      <c r="IH24" s="25">
        <f>IG24*(1+$N$27)</f>
        <v>4188445.8759631272</v>
      </c>
      <c r="II24" s="25">
        <f>IH24*(1+$N$27)</f>
        <v>4272214.7934823902</v>
      </c>
      <c r="IJ24" s="25">
        <f>II24*(1+$N$27)</f>
        <v>4357659.0893520378</v>
      </c>
      <c r="IK24" s="25">
        <f>IJ24*(1+$N$27)</f>
        <v>4444812.2711390788</v>
      </c>
      <c r="IL24" s="25">
        <f>IK24*(1+$N$27)</f>
        <v>4533708.5165618602</v>
      </c>
      <c r="IM24" s="25">
        <f>IL24*(1+$N$27)</f>
        <v>4624382.6868930971</v>
      </c>
      <c r="IN24" s="25">
        <f>IM24*(1+$N$27)</f>
        <v>4716870.3406309588</v>
      </c>
      <c r="IO24" s="25">
        <f>IN24*(1+$N$27)</f>
        <v>4811207.7474435782</v>
      </c>
      <c r="IP24" s="25">
        <f>IO24*(1+$N$27)</f>
        <v>4907431.9023924498</v>
      </c>
      <c r="IQ24" s="25">
        <f>IP24*(1+$N$27)</f>
        <v>5005580.5404402986</v>
      </c>
      <c r="IR24" s="25">
        <f>IQ24*(1+$N$27)</f>
        <v>5105692.1512491051</v>
      </c>
      <c r="IS24" s="25">
        <f>IR24*(1+$N$27)</f>
        <v>5207805.9942740873</v>
      </c>
      <c r="IT24" s="25">
        <f>IS24*(1+$N$27)</f>
        <v>5311962.1141595691</v>
      </c>
      <c r="IU24" s="25">
        <f>IT24*(1+$N$27)</f>
        <v>5418201.3564427607</v>
      </c>
      <c r="IV24" s="25">
        <f>IU24*(1+$N$27)</f>
        <v>5526565.3835716164</v>
      </c>
      <c r="IW24" s="25">
        <f>IV24*(1+$N$27)</f>
        <v>5637096.6912430488</v>
      </c>
      <c r="IX24" s="25">
        <f>IW24*(1+$N$27)</f>
        <v>5749838.6250679102</v>
      </c>
      <c r="IY24" s="25">
        <f>IX24*(1+$N$27)</f>
        <v>5864835.3975692689</v>
      </c>
      <c r="IZ24" s="25">
        <f>IY24*(1+$N$27)</f>
        <v>5982132.1055206545</v>
      </c>
      <c r="JA24" s="25">
        <f>IZ24*(1+$N$27)</f>
        <v>6101774.7476310674</v>
      </c>
      <c r="JB24" s="25">
        <f>JA24*(1+$N$27)</f>
        <v>6223810.2425836893</v>
      </c>
      <c r="JC24" s="25">
        <f>JB24*(1+$N$27)</f>
        <v>6348286.4474353632</v>
      </c>
    </row>
    <row r="25" spans="1:263" s="5" customFormat="1">
      <c r="B25" s="25"/>
      <c r="C25" s="68"/>
      <c r="D25" s="68"/>
      <c r="E25" s="68"/>
      <c r="F25" s="68"/>
      <c r="G25" s="68"/>
      <c r="H25" s="68"/>
    </row>
    <row r="26" spans="1:263">
      <c r="H26" s="52"/>
      <c r="J26" s="53" t="s">
        <v>140</v>
      </c>
      <c r="K26" s="54" t="s">
        <v>138</v>
      </c>
      <c r="M26" s="62" t="s">
        <v>227</v>
      </c>
      <c r="N26" s="61">
        <v>0.05</v>
      </c>
      <c r="O26" t="s">
        <v>224</v>
      </c>
      <c r="P26" s="20">
        <f>(N24*(1+N27))/N28-N27</f>
        <v>642167.76909891062</v>
      </c>
    </row>
    <row r="27" spans="1:263">
      <c r="B27" s="20" t="s">
        <v>131</v>
      </c>
      <c r="C27" s="2">
        <f t="shared" ref="C27:D27" si="10">C5/C3</f>
        <v>0.14272355406202805</v>
      </c>
      <c r="D27" s="2">
        <f t="shared" si="10"/>
        <v>0.15007213379004633</v>
      </c>
      <c r="E27" s="2">
        <f>E5/E3</f>
        <v>0.14076780564154201</v>
      </c>
      <c r="F27" s="2">
        <f>F5/F3</f>
        <v>0.15061082280993193</v>
      </c>
      <c r="G27" s="2">
        <f t="shared" ref="G27:H27" si="11">G5/G3</f>
        <v>0.15167199376546697</v>
      </c>
      <c r="H27" s="2">
        <f t="shared" si="11"/>
        <v>0.14040457099814663</v>
      </c>
      <c r="J27" s="55">
        <f>MEDIAN(C27:H27)</f>
        <v>0.14639784392603719</v>
      </c>
      <c r="K27" s="13">
        <f>AVERAGE(C27:H27)</f>
        <v>0.14604181351119366</v>
      </c>
      <c r="M27" s="63" t="s">
        <v>191</v>
      </c>
      <c r="N27" s="69">
        <v>0.02</v>
      </c>
      <c r="O27" t="s">
        <v>225</v>
      </c>
      <c r="P27" s="20">
        <f>P26/((1+N27)^6)</f>
        <v>570226.60152218305</v>
      </c>
      <c r="Q27" s="20"/>
    </row>
    <row r="28" spans="1:263">
      <c r="B28" s="20" t="s">
        <v>135</v>
      </c>
      <c r="C28" s="2">
        <f t="shared" ref="C28:D28" si="12">C10/C3</f>
        <v>4.5907634659172358E-2</v>
      </c>
      <c r="D28" s="2">
        <f t="shared" si="12"/>
        <v>5.2980858351803342E-2</v>
      </c>
      <c r="E28" s="2">
        <f>E10/E3</f>
        <v>5.3041427777613039E-2</v>
      </c>
      <c r="F28" s="2">
        <f>F10/F3</f>
        <v>6.1228065017224567E-2</v>
      </c>
      <c r="G28" s="2">
        <f t="shared" ref="G28:H28" si="13">G10/G3</f>
        <v>6.8036346101471509E-2</v>
      </c>
      <c r="H28" s="2">
        <f t="shared" si="13"/>
        <v>6.0627174247004374E-2</v>
      </c>
      <c r="J28" s="55">
        <f>MEDIAN(C28:H28)</f>
        <v>5.6834301012308706E-2</v>
      </c>
      <c r="K28" s="13">
        <f>AVERAGE(C28:H28)</f>
        <v>5.6970251025714867E-2</v>
      </c>
      <c r="M28" s="63" t="s">
        <v>170</v>
      </c>
      <c r="N28" s="13">
        <f>WACC!C3</f>
        <v>7.2805703063801505E-2</v>
      </c>
      <c r="O28" t="s">
        <v>173</v>
      </c>
      <c r="P28" s="17">
        <f>P27/Main!K4</f>
        <v>7.205471474161377</v>
      </c>
    </row>
    <row r="29" spans="1:263">
      <c r="B29" s="20" t="s">
        <v>132</v>
      </c>
      <c r="C29" s="2">
        <f t="shared" ref="C29:D29" si="14">C20/C3</f>
        <v>3.709982297698701E-2</v>
      </c>
      <c r="D29" s="2">
        <f t="shared" si="14"/>
        <v>3.3450735442272818E-2</v>
      </c>
      <c r="E29" s="2">
        <f>E20/E3</f>
        <v>3.9274714138922875E-2</v>
      </c>
      <c r="F29" s="2">
        <f>F20/F3</f>
        <v>4.6142481219587493E-2</v>
      </c>
      <c r="G29" s="2">
        <f t="shared" ref="G29:H29" si="15">G20/G3</f>
        <v>5.1149580454125841E-2</v>
      </c>
      <c r="H29" s="2">
        <f t="shared" si="15"/>
        <v>4.1201423233594658E-2</v>
      </c>
      <c r="J29" s="56">
        <f>MEDIAN(C29:H29)</f>
        <v>4.0238068686258767E-2</v>
      </c>
      <c r="K29" s="16">
        <f>AVERAGE(C29:H29)</f>
        <v>4.1386459577581781E-2</v>
      </c>
      <c r="M29" s="63" t="s">
        <v>171</v>
      </c>
      <c r="N29" s="29">
        <f>NPV(N28,I24:JC24)</f>
        <v>771256.10210358805</v>
      </c>
      <c r="O29" t="s">
        <v>226</v>
      </c>
      <c r="P29" s="52">
        <f>(P28-N33)/N33</f>
        <v>-0.22271073633642099</v>
      </c>
    </row>
    <row r="30" spans="1:263">
      <c r="B30" s="20"/>
      <c r="C30" s="2"/>
      <c r="D30" s="2"/>
      <c r="E30" s="2"/>
      <c r="F30" s="2"/>
      <c r="G30" s="2"/>
      <c r="H30" s="2"/>
      <c r="J30" s="2"/>
      <c r="K30" s="2"/>
      <c r="M30" s="63" t="s">
        <v>81</v>
      </c>
      <c r="N30" s="29">
        <f>Main!K6</f>
        <v>80219</v>
      </c>
    </row>
    <row r="31" spans="1:263">
      <c r="F31" s="2"/>
      <c r="G31" s="2"/>
      <c r="H31" s="2"/>
      <c r="J31" s="53" t="s">
        <v>141</v>
      </c>
      <c r="K31" s="54" t="s">
        <v>139</v>
      </c>
      <c r="M31" s="63" t="s">
        <v>172</v>
      </c>
      <c r="N31" s="57">
        <f>N29+N30</f>
        <v>851475.10210358805</v>
      </c>
    </row>
    <row r="32" spans="1:263">
      <c r="B32" s="20" t="s">
        <v>133</v>
      </c>
      <c r="C32" s="20"/>
      <c r="D32" s="2">
        <f t="shared" ref="D32:E32" si="16">(D3-C3)/D3</f>
        <v>3.2968768889784401E-2</v>
      </c>
      <c r="E32" s="2">
        <f t="shared" si="16"/>
        <v>0.20017559715279917</v>
      </c>
      <c r="F32" s="2">
        <f>(F3-E3)/F3</f>
        <v>4.9783406592868097E-2</v>
      </c>
      <c r="G32" s="2">
        <f t="shared" ref="G32:H32" si="17">(G3-F3)/G3</f>
        <v>3.7613522617277718E-2</v>
      </c>
      <c r="H32" s="2">
        <f t="shared" si="17"/>
        <v>0.15936152710189599</v>
      </c>
      <c r="J32" s="55">
        <f>MEDIAN(C32:H32)</f>
        <v>4.9783406592868097E-2</v>
      </c>
      <c r="K32" s="13">
        <f>AVERAGE(C32:H32)</f>
        <v>9.5980564470925081E-2</v>
      </c>
      <c r="M32" s="64" t="s">
        <v>173</v>
      </c>
      <c r="N32" s="58">
        <f>N31/Main!K4</f>
        <v>10.759370998806997</v>
      </c>
    </row>
    <row r="33" spans="2:14">
      <c r="B33" s="20" t="s">
        <v>222</v>
      </c>
      <c r="C33" s="20"/>
      <c r="D33" s="2">
        <f t="shared" ref="D33:E33" si="18">(D10-C10)/D10</f>
        <v>0.16207253255446027</v>
      </c>
      <c r="E33" s="2">
        <f t="shared" si="18"/>
        <v>0.20108893804234218</v>
      </c>
      <c r="F33" s="2">
        <f>(F10-E10)/F10</f>
        <v>0.17683427039356531</v>
      </c>
      <c r="G33" s="2">
        <f t="shared" ref="G33:H33" si="19">(G10-F10)/G10</f>
        <v>0.13391789557592668</v>
      </c>
      <c r="H33" s="2">
        <f t="shared" si="19"/>
        <v>5.6628140785666407E-2</v>
      </c>
      <c r="J33" s="55">
        <f>MEDIAN(C33:H33)</f>
        <v>0.16207253255446027</v>
      </c>
      <c r="K33" s="13">
        <f>AVERAGE(C33:H33)</f>
        <v>0.14610835547039216</v>
      </c>
      <c r="M33" s="65" t="s">
        <v>174</v>
      </c>
      <c r="N33" s="59">
        <f>Main!K3</f>
        <v>9.27</v>
      </c>
    </row>
    <row r="34" spans="2:14">
      <c r="B34" s="20" t="s">
        <v>134</v>
      </c>
      <c r="C34" s="20"/>
      <c r="D34" s="2">
        <f t="shared" ref="D34:E34" si="20">(D20-C20)/D20</f>
        <v>-7.2523130300693905E-2</v>
      </c>
      <c r="E34" s="2">
        <f t="shared" si="20"/>
        <v>0.31878015953779998</v>
      </c>
      <c r="F34" s="2">
        <f>(F20-E20)/F20</f>
        <v>0.19121200053099693</v>
      </c>
      <c r="G34" s="2">
        <f t="shared" ref="G34:H34" si="21">(G20-F20)/G20</f>
        <v>0.13182279181264983</v>
      </c>
      <c r="H34" s="2">
        <f t="shared" si="21"/>
        <v>-4.3612133458420535E-2</v>
      </c>
      <c r="J34" s="55">
        <f>MEDIAN(C34:H34)</f>
        <v>0.13182279181264983</v>
      </c>
      <c r="K34" s="13">
        <f>AVERAGE(C34:H34)</f>
        <v>0.10513593762446645</v>
      </c>
      <c r="M34" s="66" t="s">
        <v>223</v>
      </c>
      <c r="N34" s="60">
        <f>(N32-N33)/N33</f>
        <v>0.16066569566418526</v>
      </c>
    </row>
    <row r="35" spans="2:14">
      <c r="J35" s="12"/>
      <c r="K35" s="9"/>
    </row>
    <row r="36" spans="2:14">
      <c r="B36" s="20" t="s">
        <v>212</v>
      </c>
      <c r="D36" s="52">
        <f>(D24-C24)/C24</f>
        <v>1.3099606185765056</v>
      </c>
      <c r="E36" s="52">
        <f>(E24-D24)/D24</f>
        <v>-0.26972015468418647</v>
      </c>
      <c r="F36" s="52">
        <f>(F24-E24)/E24</f>
        <v>0.4834733096085409</v>
      </c>
      <c r="G36" s="52">
        <f>(G24-F24)/F24</f>
        <v>-7.185215038286602E-2</v>
      </c>
      <c r="H36" s="52">
        <f>(H24-G24)/G24</f>
        <v>-0.20829973326716705</v>
      </c>
      <c r="J36" s="56">
        <f>MEDIAN(C36:H36)</f>
        <v>-7.185215038286602E-2</v>
      </c>
      <c r="K36" s="16">
        <f>AVERAGE(D36:H36)</f>
        <v>0.24871237797016538</v>
      </c>
    </row>
    <row r="37" spans="2:14">
      <c r="B37" s="20"/>
    </row>
    <row r="40" spans="2:14">
      <c r="B40" s="5" t="s">
        <v>228</v>
      </c>
    </row>
    <row r="41" spans="2:14">
      <c r="B41" s="20" t="s">
        <v>229</v>
      </c>
      <c r="C41" s="20"/>
      <c r="D41" s="20"/>
      <c r="E41" s="20"/>
      <c r="F41" s="20"/>
      <c r="G41" s="20">
        <f>148805+27869</f>
        <v>176674</v>
      </c>
      <c r="H41" s="20">
        <f>161172+33925</f>
        <v>195097</v>
      </c>
    </row>
    <row r="42" spans="2:14">
      <c r="B42" s="20" t="s">
        <v>230</v>
      </c>
      <c r="C42" s="20"/>
      <c r="D42" s="20"/>
      <c r="E42" s="20"/>
      <c r="F42" s="20"/>
      <c r="G42" s="20">
        <v>19400</v>
      </c>
      <c r="H42" s="20">
        <f>25608</f>
        <v>25608</v>
      </c>
    </row>
    <row r="43" spans="2:14">
      <c r="B43" s="20" t="s">
        <v>235</v>
      </c>
      <c r="C43" s="20"/>
      <c r="D43" s="20"/>
      <c r="E43" s="20"/>
      <c r="F43" s="20"/>
      <c r="G43" s="20">
        <f>19174</f>
        <v>19174</v>
      </c>
      <c r="H43" s="20">
        <f>26294</f>
        <v>26294</v>
      </c>
    </row>
    <row r="44" spans="2:14">
      <c r="B44" s="20" t="s">
        <v>234</v>
      </c>
      <c r="C44" s="20"/>
      <c r="D44" s="20"/>
      <c r="E44" s="20"/>
      <c r="F44" s="20"/>
      <c r="G44" s="20">
        <f>3979+2456</f>
        <v>6435</v>
      </c>
      <c r="H44" s="20">
        <f>3780+2954</f>
        <v>6734</v>
      </c>
    </row>
    <row r="45" spans="2:14">
      <c r="B45" s="20" t="s">
        <v>231</v>
      </c>
      <c r="C45" s="20"/>
      <c r="D45" s="20"/>
      <c r="E45" s="20"/>
      <c r="F45" s="20"/>
      <c r="G45" s="20">
        <f>4169</f>
        <v>4169</v>
      </c>
      <c r="H45" s="20">
        <v>6365</v>
      </c>
    </row>
    <row r="46" spans="2:14">
      <c r="B46" s="20" t="s">
        <v>232</v>
      </c>
      <c r="C46" s="20"/>
      <c r="D46" s="20"/>
      <c r="E46" s="20"/>
      <c r="F46" s="20"/>
      <c r="G46" s="20">
        <v>187311</v>
      </c>
      <c r="H46" s="20">
        <v>183488</v>
      </c>
    </row>
    <row r="47" spans="2:14">
      <c r="B47" s="20" t="s">
        <v>233</v>
      </c>
      <c r="C47" s="20"/>
      <c r="D47" s="20"/>
      <c r="E47" s="20"/>
      <c r="F47" s="20"/>
      <c r="G47" s="20">
        <f>0+814</f>
        <v>814</v>
      </c>
      <c r="H47" s="20">
        <f>4389+19519</f>
        <v>23908</v>
      </c>
    </row>
    <row r="48" spans="2:14">
      <c r="B48" s="20" t="s">
        <v>81</v>
      </c>
      <c r="C48" s="20"/>
      <c r="D48" s="20"/>
      <c r="E48" s="20"/>
      <c r="F48" s="20"/>
      <c r="G48" s="20">
        <f>35657</f>
        <v>35657</v>
      </c>
      <c r="H48" s="20">
        <v>80219</v>
      </c>
    </row>
    <row r="49" spans="2:8">
      <c r="B49" s="25" t="s">
        <v>240</v>
      </c>
      <c r="C49" s="25"/>
      <c r="D49" s="25"/>
      <c r="E49" s="25"/>
      <c r="F49" s="25"/>
      <c r="G49" s="25">
        <f>SUM(G41:G48)</f>
        <v>449634</v>
      </c>
      <c r="H49" s="25">
        <f>SUM(H41:H48)</f>
        <v>547713</v>
      </c>
    </row>
    <row r="50" spans="2:8">
      <c r="B50" s="20"/>
      <c r="C50" s="20"/>
      <c r="D50" s="20"/>
      <c r="E50" s="20"/>
      <c r="F50" s="20"/>
      <c r="G50" s="20"/>
      <c r="H50" s="20"/>
    </row>
    <row r="51" spans="2:8">
      <c r="B51" s="20" t="s">
        <v>244</v>
      </c>
      <c r="C51" s="20"/>
      <c r="D51" s="20"/>
      <c r="E51" s="20"/>
      <c r="F51" s="20"/>
      <c r="G51" s="20">
        <v>10733</v>
      </c>
      <c r="H51" s="20">
        <v>15605</v>
      </c>
    </row>
    <row r="52" spans="2:8">
      <c r="B52" s="20" t="s">
        <v>237</v>
      </c>
      <c r="C52" s="20"/>
      <c r="D52" s="20"/>
      <c r="E52" s="20"/>
      <c r="F52" s="20"/>
      <c r="G52" s="20">
        <f>822+7363+338</f>
        <v>8523</v>
      </c>
      <c r="H52" s="20">
        <f>641+9982+338</f>
        <v>10961</v>
      </c>
    </row>
    <row r="53" spans="2:8">
      <c r="B53" s="20" t="s">
        <v>245</v>
      </c>
      <c r="C53" s="20"/>
      <c r="D53" s="20"/>
      <c r="E53" s="20"/>
      <c r="F53" s="20"/>
      <c r="G53" s="20">
        <v>0</v>
      </c>
      <c r="H53" s="20">
        <v>52000</v>
      </c>
    </row>
    <row r="54" spans="2:8">
      <c r="B54" s="20" t="s">
        <v>238</v>
      </c>
      <c r="C54" s="20"/>
      <c r="D54" s="20"/>
      <c r="E54" s="20"/>
      <c r="F54" s="20"/>
      <c r="G54" s="20">
        <f>228677</f>
        <v>228677</v>
      </c>
      <c r="H54" s="20">
        <v>207244</v>
      </c>
    </row>
    <row r="55" spans="2:8">
      <c r="B55" s="20" t="s">
        <v>239</v>
      </c>
      <c r="C55" s="20"/>
      <c r="D55" s="20"/>
      <c r="E55" s="20"/>
      <c r="F55" s="20"/>
      <c r="G55" s="20">
        <f>6945</f>
        <v>6945</v>
      </c>
      <c r="H55" s="20">
        <v>8975</v>
      </c>
    </row>
    <row r="56" spans="2:8">
      <c r="B56" s="20" t="s">
        <v>236</v>
      </c>
      <c r="C56" s="20"/>
      <c r="D56" s="20"/>
      <c r="E56" s="20"/>
      <c r="F56" s="20"/>
      <c r="G56" s="20">
        <f>15359</f>
        <v>15359</v>
      </c>
      <c r="H56" s="20">
        <f>17461+29077</f>
        <v>46538</v>
      </c>
    </row>
    <row r="57" spans="2:8">
      <c r="B57" s="25" t="s">
        <v>241</v>
      </c>
      <c r="C57" s="25"/>
      <c r="D57" s="25"/>
      <c r="E57" s="25"/>
      <c r="F57" s="25"/>
      <c r="G57" s="25">
        <f>SUM(G51:G56)</f>
        <v>270237</v>
      </c>
      <c r="H57" s="25">
        <f>SUM(H51:H56)</f>
        <v>341323</v>
      </c>
    </row>
    <row r="58" spans="2:8">
      <c r="B58" s="20"/>
      <c r="C58" s="20"/>
      <c r="D58" s="20"/>
      <c r="E58" s="20"/>
      <c r="F58" s="20"/>
      <c r="G58" s="20"/>
      <c r="H58" s="20"/>
    </row>
    <row r="59" spans="2:8" s="5" customFormat="1">
      <c r="B59" s="25" t="s">
        <v>242</v>
      </c>
      <c r="C59" s="25"/>
      <c r="D59" s="25"/>
      <c r="E59" s="25"/>
      <c r="F59" s="25"/>
      <c r="G59" s="25">
        <f>G49-G57</f>
        <v>179397</v>
      </c>
      <c r="H59" s="25">
        <f>H49-H57</f>
        <v>206390</v>
      </c>
    </row>
    <row r="60" spans="2:8">
      <c r="B60" s="20" t="s">
        <v>243</v>
      </c>
      <c r="C60" s="20"/>
      <c r="D60" s="20"/>
      <c r="E60" s="20"/>
      <c r="F60" s="20"/>
      <c r="G60" s="20">
        <f>G59+G57</f>
        <v>449634</v>
      </c>
      <c r="H60" s="20">
        <f>H59+H57</f>
        <v>547713</v>
      </c>
    </row>
  </sheetData>
  <phoneticPr fontId="22" type="noConversion"/>
  <hyperlinks>
    <hyperlink ref="A1" location="Main!A1" display="Main" xr:uid="{ED58F626-A02F-0847-97BA-97EBECF0F2B2}"/>
  </hyperlinks>
  <pageMargins left="0.7" right="0.7" top="0.75" bottom="0.75" header="0.3" footer="0.3"/>
  <ignoredErrors>
    <ignoredError sqref="F33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44AA-1C73-294D-8061-6EDAF68EF5B2}">
  <dimension ref="B2:K22"/>
  <sheetViews>
    <sheetView zoomScale="139" workbookViewId="0">
      <selection activeCell="J23" sqref="J23"/>
    </sheetView>
  </sheetViews>
  <sheetFormatPr baseColWidth="10" defaultRowHeight="13"/>
  <cols>
    <col min="2" max="2" width="18.83203125" customWidth="1"/>
    <col min="3" max="3" width="17.5" customWidth="1"/>
    <col min="4" max="4" width="16" customWidth="1"/>
  </cols>
  <sheetData>
    <row r="2" spans="2:10">
      <c r="C2" s="43"/>
    </row>
    <row r="3" spans="2:10">
      <c r="B3" s="5" t="s">
        <v>185</v>
      </c>
      <c r="C3" s="44">
        <f>((Main!K5/(Main!K5+Main!K7))*C5)+((Main!K7/(Main!K5+Main!K7))*C11*(1-C14))</f>
        <v>7.2805703063801505E-2</v>
      </c>
      <c r="J3" s="47" t="s">
        <v>192</v>
      </c>
    </row>
    <row r="4" spans="2:10">
      <c r="C4" s="43"/>
      <c r="J4" s="34" t="s">
        <v>175</v>
      </c>
    </row>
    <row r="5" spans="2:10">
      <c r="B5" s="5" t="s">
        <v>186</v>
      </c>
      <c r="C5" s="44">
        <f>C6+C7*(C9)</f>
        <v>7.9075000000000006E-2</v>
      </c>
      <c r="J5" s="34" t="s">
        <v>176</v>
      </c>
    </row>
    <row r="6" spans="2:10">
      <c r="B6" s="34" t="s">
        <v>187</v>
      </c>
      <c r="C6" s="45">
        <v>4.5499999999999999E-2</v>
      </c>
      <c r="D6" s="36" t="s">
        <v>250</v>
      </c>
      <c r="J6" s="34"/>
    </row>
    <row r="7" spans="2:10">
      <c r="B7" s="34" t="s">
        <v>188</v>
      </c>
      <c r="C7" s="43">
        <v>0.79</v>
      </c>
      <c r="J7" s="35" t="s">
        <v>177</v>
      </c>
    </row>
    <row r="8" spans="2:10">
      <c r="B8" s="34" t="s">
        <v>189</v>
      </c>
      <c r="C8" s="45">
        <v>8.7999999999999995E-2</v>
      </c>
      <c r="D8" s="36" t="s">
        <v>219</v>
      </c>
      <c r="J8" s="34" t="s">
        <v>178</v>
      </c>
    </row>
    <row r="9" spans="2:10">
      <c r="B9" s="34" t="s">
        <v>194</v>
      </c>
      <c r="C9" s="45">
        <f>C8-C6</f>
        <v>4.2499999999999996E-2</v>
      </c>
      <c r="D9" s="45"/>
      <c r="J9" s="34"/>
    </row>
    <row r="10" spans="2:10">
      <c r="B10" s="34"/>
      <c r="C10" s="43"/>
    </row>
    <row r="11" spans="2:10">
      <c r="B11" s="25" t="s">
        <v>190</v>
      </c>
      <c r="C11" s="44">
        <f>(C12/C13)*(1-C14)</f>
        <v>1.7444256685027765E-2</v>
      </c>
      <c r="J11" s="34" t="s">
        <v>193</v>
      </c>
    </row>
    <row r="12" spans="2:10">
      <c r="B12" s="42" t="s">
        <v>220</v>
      </c>
      <c r="C12" s="42">
        <f>Model!H13</f>
        <v>1828</v>
      </c>
      <c r="D12" s="36" t="s">
        <v>130</v>
      </c>
      <c r="J12" s="34"/>
    </row>
    <row r="13" spans="2:10">
      <c r="B13" s="42" t="s">
        <v>221</v>
      </c>
      <c r="C13" s="42">
        <f>Main!K7</f>
        <v>76580</v>
      </c>
      <c r="D13" s="36" t="s">
        <v>130</v>
      </c>
      <c r="J13" s="34" t="s">
        <v>179</v>
      </c>
    </row>
    <row r="14" spans="2:10">
      <c r="B14" s="43" t="s">
        <v>251</v>
      </c>
      <c r="C14" s="46">
        <f>Model!H17/Model!H15</f>
        <v>0.26921160998937299</v>
      </c>
      <c r="D14" s="36" t="s">
        <v>130</v>
      </c>
      <c r="J14" s="34" t="s">
        <v>180</v>
      </c>
    </row>
    <row r="15" spans="2:10">
      <c r="J15" s="34" t="s">
        <v>181</v>
      </c>
    </row>
    <row r="16" spans="2:10">
      <c r="B16" s="48" t="s">
        <v>195</v>
      </c>
      <c r="C16" s="49">
        <f>Model!H57/Model!H59</f>
        <v>1.6537768302727844</v>
      </c>
      <c r="D16" s="48"/>
      <c r="J16" s="34" t="s">
        <v>182</v>
      </c>
    </row>
    <row r="17" spans="2:11">
      <c r="B17" t="s">
        <v>196</v>
      </c>
      <c r="C17" s="50">
        <f>AVERAGE(0.7421,1.036,1.092,1.14)</f>
        <v>1.0025249999999999</v>
      </c>
      <c r="J17" s="34" t="s">
        <v>183</v>
      </c>
    </row>
    <row r="18" spans="2:11">
      <c r="C18" s="43"/>
      <c r="J18" s="34" t="s">
        <v>184</v>
      </c>
    </row>
    <row r="19" spans="2:11">
      <c r="B19" s="19" t="s">
        <v>252</v>
      </c>
    </row>
    <row r="20" spans="2:11">
      <c r="K20" s="34"/>
    </row>
    <row r="21" spans="2:11">
      <c r="K21" s="34"/>
    </row>
    <row r="22" spans="2:11">
      <c r="K22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36A4-49FE-B349-A141-E471E7E12B45}">
  <dimension ref="A1:Y90"/>
  <sheetViews>
    <sheetView zoomScale="94" zoomScaleNormal="179" workbookViewId="0">
      <selection activeCell="K8" sqref="K8"/>
    </sheetView>
  </sheetViews>
  <sheetFormatPr baseColWidth="10" defaultRowHeight="13"/>
  <cols>
    <col min="1" max="1" width="4.83203125" bestFit="1" customWidth="1"/>
    <col min="10" max="10" width="17.6640625" customWidth="1"/>
    <col min="11" max="11" width="11.6640625" bestFit="1" customWidth="1"/>
    <col min="13" max="13" width="26" bestFit="1" customWidth="1"/>
  </cols>
  <sheetData>
    <row r="1" spans="1:25">
      <c r="A1" s="32" t="s">
        <v>126</v>
      </c>
    </row>
    <row r="2" spans="1:25" s="5" customFormat="1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J2" s="6" t="s">
        <v>64</v>
      </c>
      <c r="K2" s="41">
        <f>AVERAGE(C3:C87)</f>
        <v>685</v>
      </c>
      <c r="M2" s="11" t="s">
        <v>71</v>
      </c>
      <c r="N2" s="7">
        <f>_xlfn.STDEV.S(C3:C87)</f>
        <v>201.93243507008313</v>
      </c>
    </row>
    <row r="3" spans="1:25">
      <c r="A3" s="17"/>
      <c r="B3" s="1">
        <v>46023</v>
      </c>
      <c r="C3">
        <v>919</v>
      </c>
      <c r="D3">
        <v>891</v>
      </c>
      <c r="E3">
        <v>933</v>
      </c>
      <c r="F3">
        <v>874.5</v>
      </c>
      <c r="G3" t="s">
        <v>7</v>
      </c>
      <c r="H3" s="2">
        <v>3.1399999999999997E-2</v>
      </c>
      <c r="J3" s="8" t="s">
        <v>65</v>
      </c>
      <c r="K3" s="9">
        <f>MEDIAN(C3:C87)</f>
        <v>713</v>
      </c>
      <c r="M3" s="14" t="s">
        <v>72</v>
      </c>
      <c r="N3" s="18">
        <f>_xlfn.VAR.S(C3:C87)</f>
        <v>40776.708333333336</v>
      </c>
    </row>
    <row r="4" spans="1:25">
      <c r="A4" s="17"/>
      <c r="B4" s="1">
        <v>45992</v>
      </c>
      <c r="C4">
        <v>891</v>
      </c>
      <c r="D4">
        <v>947</v>
      </c>
      <c r="E4">
        <v>947</v>
      </c>
      <c r="F4">
        <v>870</v>
      </c>
      <c r="G4" t="s">
        <v>8</v>
      </c>
      <c r="H4" s="2">
        <v>-4.5999999999999999E-2</v>
      </c>
      <c r="J4" s="10" t="s">
        <v>66</v>
      </c>
      <c r="K4" s="4">
        <f>MODE(C3:C87)</f>
        <v>732</v>
      </c>
    </row>
    <row r="5" spans="1:25">
      <c r="A5" s="17"/>
      <c r="B5" s="1">
        <v>45962</v>
      </c>
      <c r="C5">
        <v>934</v>
      </c>
      <c r="D5">
        <v>928</v>
      </c>
      <c r="E5">
        <v>978</v>
      </c>
      <c r="F5">
        <v>884</v>
      </c>
      <c r="G5" t="s">
        <v>9</v>
      </c>
      <c r="H5" s="2">
        <v>8.6E-3</v>
      </c>
      <c r="M5" s="11" t="s">
        <v>73</v>
      </c>
      <c r="N5" s="15">
        <f>STDEV(H3:H87)</f>
        <v>8.9248195660032406E-2</v>
      </c>
    </row>
    <row r="6" spans="1:25">
      <c r="A6" s="17"/>
      <c r="B6" s="1">
        <v>45931</v>
      </c>
      <c r="C6">
        <v>926</v>
      </c>
      <c r="D6">
        <v>827</v>
      </c>
      <c r="E6">
        <v>973</v>
      </c>
      <c r="F6">
        <v>825</v>
      </c>
      <c r="G6" t="s">
        <v>10</v>
      </c>
      <c r="H6" s="2">
        <v>0.14319999999999999</v>
      </c>
      <c r="J6" s="11" t="s">
        <v>67</v>
      </c>
      <c r="K6" s="15">
        <f>AVERAGE(H3:H87)</f>
        <v>1.5579999999999995E-2</v>
      </c>
      <c r="M6" s="14" t="s">
        <v>74</v>
      </c>
      <c r="N6" s="16">
        <f>_xlfn.VAR.S(H3:H87)</f>
        <v>7.9652404285714268E-3</v>
      </c>
    </row>
    <row r="7" spans="1:25">
      <c r="A7" s="17"/>
      <c r="B7" s="1">
        <v>45901</v>
      </c>
      <c r="C7">
        <v>810</v>
      </c>
      <c r="D7">
        <v>808</v>
      </c>
      <c r="E7">
        <v>846</v>
      </c>
      <c r="F7">
        <v>772</v>
      </c>
      <c r="G7" t="s">
        <v>11</v>
      </c>
      <c r="H7" s="2">
        <v>1.12E-2</v>
      </c>
      <c r="J7" s="12" t="s">
        <v>68</v>
      </c>
      <c r="K7" s="13">
        <f>MEDIAN(H3:H87)</f>
        <v>5.8999999999999999E-3</v>
      </c>
    </row>
    <row r="8" spans="1:25">
      <c r="A8" s="17"/>
      <c r="B8" s="1">
        <v>45870</v>
      </c>
      <c r="C8">
        <v>801</v>
      </c>
      <c r="D8">
        <v>839</v>
      </c>
      <c r="E8">
        <v>875</v>
      </c>
      <c r="F8">
        <v>801</v>
      </c>
      <c r="G8" t="s">
        <v>12</v>
      </c>
      <c r="H8" s="2">
        <v>-4.9799999999999997E-2</v>
      </c>
      <c r="J8" s="14" t="s">
        <v>69</v>
      </c>
      <c r="K8" s="16">
        <f>MODE(H3:H87)</f>
        <v>3.9899999999999998E-2</v>
      </c>
      <c r="M8" s="39" t="s">
        <v>169</v>
      </c>
      <c r="N8" s="40">
        <f>(919/369)^(1/6)-1</f>
        <v>0.1642552121712908</v>
      </c>
    </row>
    <row r="9" spans="1:25">
      <c r="A9" s="17"/>
      <c r="B9" s="1">
        <v>45839</v>
      </c>
      <c r="C9">
        <v>843</v>
      </c>
      <c r="D9">
        <v>817</v>
      </c>
      <c r="E9">
        <v>867</v>
      </c>
      <c r="F9">
        <v>790</v>
      </c>
      <c r="G9" t="s">
        <v>13</v>
      </c>
      <c r="H9" s="2">
        <v>-8.2000000000000007E-3</v>
      </c>
    </row>
    <row r="10" spans="1:25">
      <c r="A10" s="17"/>
      <c r="B10" s="1">
        <v>45809</v>
      </c>
      <c r="C10">
        <v>850</v>
      </c>
      <c r="D10">
        <v>843</v>
      </c>
      <c r="E10">
        <v>867</v>
      </c>
      <c r="F10">
        <v>787</v>
      </c>
      <c r="G10" t="s">
        <v>14</v>
      </c>
      <c r="H10" s="2">
        <v>3.6600000000000001E-2</v>
      </c>
    </row>
    <row r="11" spans="1:25">
      <c r="A11" s="17"/>
      <c r="B11" s="1">
        <v>45778</v>
      </c>
      <c r="C11">
        <v>820</v>
      </c>
      <c r="D11">
        <v>713</v>
      </c>
      <c r="E11">
        <v>859</v>
      </c>
      <c r="F11">
        <v>713</v>
      </c>
      <c r="G11" t="s">
        <v>15</v>
      </c>
      <c r="H11" s="2">
        <v>8.6099999999999996E-2</v>
      </c>
      <c r="J11" s="5" t="s">
        <v>1</v>
      </c>
      <c r="M11" s="5"/>
      <c r="N11" s="5"/>
      <c r="O11" s="5"/>
      <c r="P11" s="5"/>
      <c r="Q11" s="5"/>
      <c r="R11" s="5" t="s">
        <v>70</v>
      </c>
      <c r="Y11" s="5" t="s">
        <v>70</v>
      </c>
    </row>
    <row r="12" spans="1:25">
      <c r="A12" s="17"/>
      <c r="B12" s="1">
        <v>45748</v>
      </c>
      <c r="C12">
        <v>755</v>
      </c>
      <c r="D12">
        <v>671</v>
      </c>
      <c r="E12">
        <v>764</v>
      </c>
      <c r="F12">
        <v>604</v>
      </c>
      <c r="G12" t="s">
        <v>16</v>
      </c>
      <c r="H12" s="2">
        <v>0.14050000000000001</v>
      </c>
    </row>
    <row r="13" spans="1:25">
      <c r="A13" s="17"/>
      <c r="B13" s="1">
        <v>45717</v>
      </c>
      <c r="C13">
        <v>662</v>
      </c>
      <c r="D13">
        <v>657</v>
      </c>
      <c r="E13">
        <v>700</v>
      </c>
      <c r="F13">
        <v>631</v>
      </c>
      <c r="G13" t="s">
        <v>17</v>
      </c>
      <c r="H13" s="2">
        <v>4.5999999999999999E-3</v>
      </c>
    </row>
    <row r="14" spans="1:25">
      <c r="A14" s="17"/>
      <c r="B14" s="1">
        <v>45689</v>
      </c>
      <c r="C14">
        <v>659</v>
      </c>
      <c r="D14">
        <v>740</v>
      </c>
      <c r="E14">
        <v>754</v>
      </c>
      <c r="F14">
        <v>654</v>
      </c>
      <c r="G14" t="s">
        <v>18</v>
      </c>
      <c r="H14" s="2">
        <v>-9.9699999999999997E-2</v>
      </c>
    </row>
    <row r="15" spans="1:25">
      <c r="A15" s="17"/>
      <c r="B15" s="1">
        <v>45658</v>
      </c>
      <c r="C15">
        <v>732</v>
      </c>
      <c r="D15">
        <v>910</v>
      </c>
      <c r="E15">
        <v>941</v>
      </c>
      <c r="F15">
        <v>690</v>
      </c>
      <c r="G15" t="s">
        <v>19</v>
      </c>
      <c r="H15" s="2">
        <v>-0.19120000000000001</v>
      </c>
      <c r="I15" s="2"/>
    </row>
    <row r="16" spans="1:25">
      <c r="A16" s="17"/>
      <c r="B16" s="1">
        <v>45627</v>
      </c>
      <c r="C16">
        <v>905</v>
      </c>
      <c r="D16" s="3">
        <v>1050</v>
      </c>
      <c r="E16" s="3">
        <v>1070</v>
      </c>
      <c r="F16">
        <v>863</v>
      </c>
      <c r="G16" t="s">
        <v>20</v>
      </c>
      <c r="H16" s="2">
        <v>-0.1298</v>
      </c>
    </row>
    <row r="17" spans="1:17">
      <c r="A17" s="17"/>
      <c r="B17" s="1">
        <v>45597</v>
      </c>
      <c r="C17" s="3">
        <v>1040</v>
      </c>
      <c r="D17" s="3">
        <v>1084</v>
      </c>
      <c r="E17" s="3">
        <v>1100</v>
      </c>
      <c r="F17" s="3">
        <v>1016</v>
      </c>
      <c r="G17" t="s">
        <v>21</v>
      </c>
      <c r="H17" s="2">
        <v>-4.9399999999999999E-2</v>
      </c>
    </row>
    <row r="18" spans="1:17">
      <c r="A18" s="17"/>
      <c r="B18" s="1">
        <v>45566</v>
      </c>
      <c r="C18" s="3">
        <v>1094</v>
      </c>
      <c r="D18" s="3">
        <v>1098</v>
      </c>
      <c r="E18" s="3">
        <v>1152</v>
      </c>
      <c r="F18" s="3">
        <v>1030</v>
      </c>
      <c r="G18" t="s">
        <v>22</v>
      </c>
      <c r="H18" s="2">
        <v>3.9899999999999998E-2</v>
      </c>
    </row>
    <row r="19" spans="1:17">
      <c r="A19" s="17"/>
      <c r="B19" s="1">
        <v>45536</v>
      </c>
      <c r="C19" s="3">
        <v>1052</v>
      </c>
      <c r="D19" s="3">
        <v>1080</v>
      </c>
      <c r="E19" s="3">
        <v>1110</v>
      </c>
      <c r="F19" s="3">
        <v>1022</v>
      </c>
      <c r="G19" t="s">
        <v>23</v>
      </c>
      <c r="H19" s="2">
        <v>-1.8700000000000001E-2</v>
      </c>
    </row>
    <row r="20" spans="1:17">
      <c r="A20" s="17"/>
      <c r="B20" s="1">
        <v>45505</v>
      </c>
      <c r="C20" s="3">
        <v>1072</v>
      </c>
      <c r="D20" s="3">
        <v>1098</v>
      </c>
      <c r="E20" s="3">
        <v>1104</v>
      </c>
      <c r="F20">
        <v>985</v>
      </c>
      <c r="G20" t="s">
        <v>24</v>
      </c>
      <c r="H20" s="2">
        <v>-1.29E-2</v>
      </c>
    </row>
    <row r="21" spans="1:17">
      <c r="A21" s="17"/>
      <c r="B21" s="1">
        <v>45474</v>
      </c>
      <c r="C21" s="3">
        <v>1086</v>
      </c>
      <c r="D21" s="3">
        <v>1070</v>
      </c>
      <c r="E21" s="3">
        <v>1144</v>
      </c>
      <c r="F21" s="3">
        <v>1016</v>
      </c>
      <c r="G21" t="s">
        <v>25</v>
      </c>
      <c r="H21" s="2">
        <v>2.2599999999999999E-2</v>
      </c>
    </row>
    <row r="22" spans="1:17">
      <c r="A22" s="17"/>
      <c r="B22" s="1">
        <v>45444</v>
      </c>
      <c r="C22" s="3">
        <v>1062</v>
      </c>
      <c r="D22" s="3">
        <v>1050</v>
      </c>
      <c r="E22" s="3">
        <v>1100</v>
      </c>
      <c r="F22" s="3">
        <v>1050</v>
      </c>
      <c r="G22" t="s">
        <v>26</v>
      </c>
      <c r="H22" s="2">
        <v>-5.5999999999999999E-3</v>
      </c>
    </row>
    <row r="23" spans="1:17">
      <c r="A23" s="17"/>
      <c r="B23" s="1">
        <v>45413</v>
      </c>
      <c r="C23" s="3">
        <v>1068</v>
      </c>
      <c r="D23">
        <v>961.16</v>
      </c>
      <c r="E23" s="3">
        <v>1086</v>
      </c>
      <c r="F23">
        <v>935.88</v>
      </c>
      <c r="G23" t="s">
        <v>27</v>
      </c>
      <c r="H23" s="2">
        <v>0.13020000000000001</v>
      </c>
    </row>
    <row r="24" spans="1:17">
      <c r="A24" s="17"/>
      <c r="B24" s="1">
        <v>45383</v>
      </c>
      <c r="C24">
        <v>945</v>
      </c>
      <c r="D24">
        <v>906.75</v>
      </c>
      <c r="E24">
        <v>969</v>
      </c>
      <c r="F24">
        <v>882.92</v>
      </c>
      <c r="G24" t="s">
        <v>28</v>
      </c>
      <c r="H24" s="2">
        <v>2.2700000000000001E-2</v>
      </c>
    </row>
    <row r="25" spans="1:17">
      <c r="A25" s="17"/>
      <c r="B25" s="1">
        <v>45352</v>
      </c>
      <c r="C25">
        <v>924</v>
      </c>
      <c r="D25">
        <v>872.32</v>
      </c>
      <c r="E25">
        <v>939</v>
      </c>
      <c r="F25">
        <v>860</v>
      </c>
      <c r="G25" t="s">
        <v>29</v>
      </c>
      <c r="H25" s="2">
        <v>5.6000000000000001E-2</v>
      </c>
    </row>
    <row r="26" spans="1:17">
      <c r="A26" s="17"/>
      <c r="B26" s="1">
        <v>45323</v>
      </c>
      <c r="C26">
        <v>875</v>
      </c>
      <c r="D26">
        <v>900</v>
      </c>
      <c r="E26">
        <v>900</v>
      </c>
      <c r="F26">
        <v>831</v>
      </c>
      <c r="G26" t="s">
        <v>30</v>
      </c>
      <c r="H26" s="2">
        <v>-5.7000000000000002E-3</v>
      </c>
    </row>
    <row r="27" spans="1:17">
      <c r="A27" s="17"/>
      <c r="B27" s="1">
        <v>45292</v>
      </c>
      <c r="C27">
        <v>880</v>
      </c>
      <c r="D27">
        <v>840</v>
      </c>
      <c r="E27">
        <v>884</v>
      </c>
      <c r="F27">
        <v>804</v>
      </c>
      <c r="G27" t="s">
        <v>31</v>
      </c>
      <c r="H27" s="2">
        <v>2.4400000000000002E-2</v>
      </c>
      <c r="I27" s="2"/>
    </row>
    <row r="28" spans="1:17">
      <c r="A28" s="17"/>
      <c r="B28" s="1">
        <v>45261</v>
      </c>
      <c r="C28">
        <v>859</v>
      </c>
      <c r="D28">
        <v>818</v>
      </c>
      <c r="E28">
        <v>867</v>
      </c>
      <c r="F28">
        <v>800</v>
      </c>
      <c r="G28" t="s">
        <v>32</v>
      </c>
      <c r="H28" s="2">
        <v>2.0199999999999999E-2</v>
      </c>
    </row>
    <row r="29" spans="1:17">
      <c r="A29" s="17"/>
      <c r="B29" s="1">
        <v>45231</v>
      </c>
      <c r="C29">
        <v>842</v>
      </c>
      <c r="D29">
        <v>714.16</v>
      </c>
      <c r="E29">
        <v>842</v>
      </c>
      <c r="F29">
        <v>705</v>
      </c>
      <c r="G29" t="s">
        <v>33</v>
      </c>
      <c r="H29" s="2">
        <v>0.17430000000000001</v>
      </c>
    </row>
    <row r="30" spans="1:17">
      <c r="A30" s="17"/>
      <c r="B30" s="1">
        <v>45200</v>
      </c>
      <c r="C30">
        <v>717</v>
      </c>
      <c r="D30">
        <v>723</v>
      </c>
      <c r="E30">
        <v>740</v>
      </c>
      <c r="F30">
        <v>672</v>
      </c>
      <c r="G30" t="s">
        <v>34</v>
      </c>
      <c r="H30" s="2">
        <v>5.5999999999999999E-3</v>
      </c>
    </row>
    <row r="31" spans="1:17">
      <c r="A31" s="17"/>
      <c r="B31" s="1">
        <v>45170</v>
      </c>
      <c r="C31">
        <v>713</v>
      </c>
      <c r="D31">
        <v>726</v>
      </c>
      <c r="E31">
        <v>739</v>
      </c>
      <c r="F31">
        <v>699</v>
      </c>
      <c r="G31" t="s">
        <v>35</v>
      </c>
      <c r="H31" s="2">
        <v>-7.0000000000000001E-3</v>
      </c>
    </row>
    <row r="32" spans="1:17">
      <c r="A32" s="17"/>
      <c r="B32" s="1">
        <v>45139</v>
      </c>
      <c r="C32">
        <v>718</v>
      </c>
      <c r="D32">
        <v>741.4</v>
      </c>
      <c r="E32">
        <v>774</v>
      </c>
      <c r="F32">
        <v>700</v>
      </c>
      <c r="G32" t="s">
        <v>36</v>
      </c>
      <c r="H32" s="2">
        <v>-1.6400000000000001E-2</v>
      </c>
      <c r="L32" s="5"/>
      <c r="M32" s="5"/>
      <c r="N32" s="5"/>
      <c r="O32" s="5"/>
      <c r="P32" s="5"/>
      <c r="Q32" s="5"/>
    </row>
    <row r="33" spans="1:9">
      <c r="A33" s="17"/>
      <c r="B33" s="1">
        <v>45108</v>
      </c>
      <c r="C33">
        <v>730</v>
      </c>
      <c r="D33">
        <v>744.88</v>
      </c>
      <c r="E33">
        <v>766</v>
      </c>
      <c r="F33">
        <v>711</v>
      </c>
      <c r="G33" t="s">
        <v>37</v>
      </c>
      <c r="H33" s="2">
        <v>-1.8800000000000001E-2</v>
      </c>
    </row>
    <row r="34" spans="1:9">
      <c r="A34" s="17"/>
      <c r="B34" s="1">
        <v>45078</v>
      </c>
      <c r="C34">
        <v>744</v>
      </c>
      <c r="D34">
        <v>727</v>
      </c>
      <c r="E34">
        <v>762</v>
      </c>
      <c r="F34">
        <v>704</v>
      </c>
      <c r="G34" t="s">
        <v>38</v>
      </c>
      <c r="H34" s="2">
        <v>4.0599999999999997E-2</v>
      </c>
    </row>
    <row r="35" spans="1:9">
      <c r="A35" s="17"/>
      <c r="B35" s="1">
        <v>45047</v>
      </c>
      <c r="C35">
        <v>715</v>
      </c>
      <c r="D35">
        <v>712</v>
      </c>
      <c r="E35">
        <v>758.68</v>
      </c>
      <c r="F35">
        <v>707</v>
      </c>
      <c r="G35" t="s">
        <v>39</v>
      </c>
      <c r="H35" s="2">
        <v>-1.6500000000000001E-2</v>
      </c>
    </row>
    <row r="36" spans="1:9">
      <c r="A36" s="17"/>
      <c r="B36" s="1">
        <v>45017</v>
      </c>
      <c r="C36">
        <v>727</v>
      </c>
      <c r="D36">
        <v>674.35</v>
      </c>
      <c r="E36">
        <v>734</v>
      </c>
      <c r="F36">
        <v>650</v>
      </c>
      <c r="G36" t="s">
        <v>26</v>
      </c>
      <c r="H36" s="2">
        <v>7.5399999999999995E-2</v>
      </c>
    </row>
    <row r="37" spans="1:9">
      <c r="A37" s="17"/>
      <c r="B37" s="1">
        <v>44986</v>
      </c>
      <c r="C37">
        <v>676</v>
      </c>
      <c r="D37">
        <v>713</v>
      </c>
      <c r="E37">
        <v>713</v>
      </c>
      <c r="F37">
        <v>660.17</v>
      </c>
      <c r="G37" t="s">
        <v>40</v>
      </c>
      <c r="H37" s="2">
        <v>-5.1900000000000002E-2</v>
      </c>
    </row>
    <row r="38" spans="1:9">
      <c r="A38" s="17"/>
      <c r="B38" s="1">
        <v>44958</v>
      </c>
      <c r="C38">
        <v>713</v>
      </c>
      <c r="D38">
        <v>742</v>
      </c>
      <c r="E38">
        <v>760</v>
      </c>
      <c r="F38">
        <v>683.1</v>
      </c>
      <c r="G38" t="s">
        <v>41</v>
      </c>
      <c r="H38" s="2">
        <v>-2.5999999999999999E-2</v>
      </c>
    </row>
    <row r="39" spans="1:9">
      <c r="A39" s="17"/>
      <c r="B39" s="1">
        <v>44927</v>
      </c>
      <c r="C39">
        <v>732</v>
      </c>
      <c r="D39">
        <v>731.98</v>
      </c>
      <c r="E39">
        <v>760</v>
      </c>
      <c r="F39">
        <v>701</v>
      </c>
      <c r="G39" t="s">
        <v>42</v>
      </c>
      <c r="H39" s="2">
        <v>0</v>
      </c>
      <c r="I39" s="38"/>
    </row>
    <row r="40" spans="1:9">
      <c r="A40" s="17"/>
      <c r="B40" s="1">
        <v>44896</v>
      </c>
      <c r="C40">
        <v>732</v>
      </c>
      <c r="D40">
        <v>700</v>
      </c>
      <c r="E40">
        <v>739</v>
      </c>
      <c r="F40">
        <v>661.2</v>
      </c>
      <c r="G40" t="s">
        <v>43</v>
      </c>
      <c r="H40" s="2">
        <v>7.17E-2</v>
      </c>
      <c r="I40" s="2"/>
    </row>
    <row r="41" spans="1:9">
      <c r="A41" s="17"/>
      <c r="B41" s="1">
        <v>44866</v>
      </c>
      <c r="C41">
        <v>683</v>
      </c>
      <c r="D41">
        <v>614</v>
      </c>
      <c r="E41">
        <v>704</v>
      </c>
      <c r="F41">
        <v>575</v>
      </c>
      <c r="G41" t="s">
        <v>44</v>
      </c>
      <c r="H41" s="2">
        <v>0.1124</v>
      </c>
    </row>
    <row r="42" spans="1:9">
      <c r="A42" s="17"/>
      <c r="B42" s="1">
        <v>44835</v>
      </c>
      <c r="C42">
        <v>614</v>
      </c>
      <c r="D42">
        <v>584</v>
      </c>
      <c r="E42">
        <v>625</v>
      </c>
      <c r="F42">
        <v>550</v>
      </c>
      <c r="G42" t="s">
        <v>45</v>
      </c>
      <c r="H42" s="2">
        <v>7.7200000000000005E-2</v>
      </c>
    </row>
    <row r="43" spans="1:9">
      <c r="A43" s="17"/>
      <c r="B43" s="1">
        <v>44805</v>
      </c>
      <c r="C43">
        <v>570</v>
      </c>
      <c r="D43">
        <v>651</v>
      </c>
      <c r="E43">
        <v>679</v>
      </c>
      <c r="F43">
        <v>562</v>
      </c>
      <c r="G43" t="s">
        <v>46</v>
      </c>
      <c r="H43" s="2">
        <v>-0.1135</v>
      </c>
    </row>
    <row r="44" spans="1:9">
      <c r="A44" s="17"/>
      <c r="B44" s="1">
        <v>44774</v>
      </c>
      <c r="C44">
        <v>643</v>
      </c>
      <c r="D44">
        <v>750</v>
      </c>
      <c r="E44">
        <v>764</v>
      </c>
      <c r="F44">
        <v>643</v>
      </c>
      <c r="G44" t="s">
        <v>43</v>
      </c>
      <c r="H44" s="2">
        <v>-0.1323</v>
      </c>
    </row>
    <row r="45" spans="1:9">
      <c r="A45" s="17"/>
      <c r="B45" s="1">
        <v>44743</v>
      </c>
      <c r="C45">
        <v>741</v>
      </c>
      <c r="D45">
        <v>634</v>
      </c>
      <c r="E45">
        <v>789</v>
      </c>
      <c r="F45">
        <v>632</v>
      </c>
      <c r="G45" t="s">
        <v>47</v>
      </c>
      <c r="H45" s="2">
        <v>0.1578</v>
      </c>
    </row>
    <row r="46" spans="1:9">
      <c r="A46" s="17"/>
      <c r="B46" s="1">
        <v>44713</v>
      </c>
      <c r="C46">
        <v>640</v>
      </c>
      <c r="D46">
        <v>703</v>
      </c>
      <c r="E46">
        <v>708</v>
      </c>
      <c r="F46">
        <v>620</v>
      </c>
      <c r="G46" t="s">
        <v>48</v>
      </c>
      <c r="H46" s="2">
        <v>-7.51E-2</v>
      </c>
    </row>
    <row r="47" spans="1:9">
      <c r="A47" s="17"/>
      <c r="B47" s="1">
        <v>44682</v>
      </c>
      <c r="C47">
        <v>692</v>
      </c>
      <c r="D47">
        <v>692.05</v>
      </c>
      <c r="E47">
        <v>719</v>
      </c>
      <c r="F47">
        <v>664.78</v>
      </c>
      <c r="G47" t="s">
        <v>49</v>
      </c>
      <c r="H47" s="2">
        <v>-0.01</v>
      </c>
    </row>
    <row r="48" spans="1:9">
      <c r="A48" s="17"/>
      <c r="B48" s="1">
        <v>44652</v>
      </c>
      <c r="C48">
        <v>699</v>
      </c>
      <c r="D48">
        <v>687.95</v>
      </c>
      <c r="E48">
        <v>717.67</v>
      </c>
      <c r="F48">
        <v>660</v>
      </c>
      <c r="G48" t="s">
        <v>50</v>
      </c>
      <c r="H48" s="2">
        <v>2.1899999999999999E-2</v>
      </c>
    </row>
    <row r="49" spans="1:9">
      <c r="A49" s="17"/>
      <c r="B49" s="1">
        <v>44621</v>
      </c>
      <c r="C49">
        <v>684</v>
      </c>
      <c r="D49">
        <v>676.26</v>
      </c>
      <c r="E49">
        <v>720</v>
      </c>
      <c r="F49">
        <v>576.70000000000005</v>
      </c>
      <c r="G49" t="s">
        <v>51</v>
      </c>
      <c r="H49" s="2">
        <v>5.8999999999999999E-3</v>
      </c>
    </row>
    <row r="50" spans="1:9">
      <c r="A50" s="17"/>
      <c r="B50" s="1">
        <v>44593</v>
      </c>
      <c r="C50">
        <v>680</v>
      </c>
      <c r="D50">
        <v>725.44</v>
      </c>
      <c r="E50">
        <v>768</v>
      </c>
      <c r="F50">
        <v>661</v>
      </c>
      <c r="G50" t="s">
        <v>52</v>
      </c>
      <c r="H50" s="2">
        <v>-5.5599999999999997E-2</v>
      </c>
    </row>
    <row r="51" spans="1:9">
      <c r="A51" s="17"/>
      <c r="B51" s="1">
        <v>44562</v>
      </c>
      <c r="C51">
        <v>720</v>
      </c>
      <c r="D51">
        <v>835</v>
      </c>
      <c r="E51">
        <v>840</v>
      </c>
      <c r="F51">
        <v>692.56</v>
      </c>
      <c r="G51" t="s">
        <v>53</v>
      </c>
      <c r="H51" s="2">
        <v>-0.13769999999999999</v>
      </c>
      <c r="I51" s="2"/>
    </row>
    <row r="52" spans="1:9">
      <c r="A52" s="17"/>
      <c r="B52" s="1">
        <v>44531</v>
      </c>
      <c r="C52">
        <v>835</v>
      </c>
      <c r="D52">
        <v>798.5</v>
      </c>
      <c r="E52">
        <v>874</v>
      </c>
      <c r="F52">
        <v>773</v>
      </c>
      <c r="G52" t="s">
        <v>54</v>
      </c>
      <c r="H52" s="2">
        <v>3.9899999999999998E-2</v>
      </c>
    </row>
    <row r="53" spans="1:9">
      <c r="A53" s="17"/>
      <c r="B53" s="1">
        <v>44501</v>
      </c>
      <c r="C53">
        <v>803</v>
      </c>
      <c r="D53">
        <v>760</v>
      </c>
      <c r="E53">
        <v>824.96</v>
      </c>
      <c r="F53">
        <v>662.32</v>
      </c>
      <c r="G53" t="s">
        <v>55</v>
      </c>
      <c r="H53" s="2">
        <v>5.2400000000000002E-2</v>
      </c>
    </row>
    <row r="54" spans="1:9">
      <c r="A54" s="17"/>
      <c r="B54" s="1">
        <v>44470</v>
      </c>
      <c r="C54">
        <v>763</v>
      </c>
      <c r="D54">
        <v>797</v>
      </c>
      <c r="E54">
        <v>805.32</v>
      </c>
      <c r="F54">
        <v>725</v>
      </c>
      <c r="G54" t="s">
        <v>56</v>
      </c>
      <c r="H54" s="2">
        <v>-3.4200000000000001E-2</v>
      </c>
    </row>
    <row r="55" spans="1:9">
      <c r="A55" s="17"/>
      <c r="B55" s="1">
        <v>44440</v>
      </c>
      <c r="C55">
        <v>790</v>
      </c>
      <c r="D55">
        <v>751</v>
      </c>
      <c r="E55">
        <v>889</v>
      </c>
      <c r="F55">
        <v>750</v>
      </c>
      <c r="G55" t="s">
        <v>57</v>
      </c>
      <c r="H55" s="2">
        <v>0.03</v>
      </c>
    </row>
    <row r="56" spans="1:9">
      <c r="A56" s="17"/>
      <c r="B56" s="1">
        <v>44409</v>
      </c>
      <c r="C56">
        <v>767</v>
      </c>
      <c r="D56">
        <v>753</v>
      </c>
      <c r="E56">
        <v>804.56</v>
      </c>
      <c r="F56">
        <v>721</v>
      </c>
      <c r="G56" t="s">
        <v>58</v>
      </c>
      <c r="H56" s="2">
        <v>2.8199999999999999E-2</v>
      </c>
    </row>
    <row r="57" spans="1:9">
      <c r="A57" s="17"/>
      <c r="B57" s="1">
        <v>44378</v>
      </c>
      <c r="C57">
        <v>746</v>
      </c>
      <c r="D57">
        <v>692</v>
      </c>
      <c r="E57">
        <v>765</v>
      </c>
      <c r="F57">
        <v>673</v>
      </c>
      <c r="G57" t="s">
        <v>59</v>
      </c>
      <c r="H57" s="2">
        <v>0.1052</v>
      </c>
    </row>
    <row r="58" spans="1:9">
      <c r="A58" s="17"/>
      <c r="B58" s="1">
        <v>44348</v>
      </c>
      <c r="C58">
        <v>675</v>
      </c>
      <c r="D58">
        <v>638</v>
      </c>
      <c r="E58">
        <v>710</v>
      </c>
      <c r="F58">
        <v>630</v>
      </c>
      <c r="G58" t="s">
        <v>50</v>
      </c>
      <c r="H58" s="2">
        <v>6.13E-2</v>
      </c>
    </row>
    <row r="59" spans="1:9">
      <c r="A59" s="17"/>
      <c r="B59" s="1">
        <v>44317</v>
      </c>
      <c r="C59">
        <v>636</v>
      </c>
      <c r="D59">
        <v>628</v>
      </c>
      <c r="E59">
        <v>679.71</v>
      </c>
      <c r="F59">
        <v>583</v>
      </c>
      <c r="G59" t="s">
        <v>60</v>
      </c>
      <c r="H59" s="2">
        <v>1.7600000000000001E-2</v>
      </c>
    </row>
    <row r="60" spans="1:9">
      <c r="A60" s="17"/>
      <c r="B60" s="1">
        <v>44287</v>
      </c>
      <c r="C60">
        <v>625</v>
      </c>
      <c r="D60">
        <v>568</v>
      </c>
      <c r="E60">
        <v>640</v>
      </c>
      <c r="F60">
        <v>551</v>
      </c>
      <c r="G60" t="s">
        <v>7</v>
      </c>
      <c r="H60" s="2">
        <v>0.1082</v>
      </c>
    </row>
    <row r="61" spans="1:9">
      <c r="A61" s="17"/>
      <c r="B61" s="1">
        <v>44256</v>
      </c>
      <c r="C61">
        <v>564</v>
      </c>
      <c r="D61">
        <v>514</v>
      </c>
      <c r="E61">
        <v>580</v>
      </c>
      <c r="F61">
        <v>500</v>
      </c>
      <c r="G61" t="s">
        <v>61</v>
      </c>
      <c r="H61" s="2">
        <v>0.1235</v>
      </c>
    </row>
    <row r="62" spans="1:9">
      <c r="A62" s="17"/>
      <c r="B62" s="1">
        <v>44228</v>
      </c>
      <c r="C62">
        <v>502</v>
      </c>
      <c r="D62">
        <v>522</v>
      </c>
      <c r="E62">
        <v>556</v>
      </c>
      <c r="F62">
        <v>482</v>
      </c>
      <c r="G62" t="s">
        <v>62</v>
      </c>
      <c r="H62" s="2">
        <v>-4.2000000000000003E-2</v>
      </c>
    </row>
    <row r="63" spans="1:9">
      <c r="A63" s="17"/>
      <c r="B63" s="1">
        <v>44197</v>
      </c>
      <c r="C63">
        <v>524</v>
      </c>
      <c r="D63">
        <v>564</v>
      </c>
      <c r="E63">
        <v>588.09</v>
      </c>
      <c r="F63">
        <v>505.28</v>
      </c>
      <c r="G63" t="s">
        <v>63</v>
      </c>
      <c r="H63" s="2">
        <v>-6.4299999999999996E-2</v>
      </c>
      <c r="I63" s="38"/>
    </row>
    <row r="64" spans="1:9">
      <c r="B64" s="1">
        <v>44166</v>
      </c>
      <c r="C64">
        <v>560</v>
      </c>
      <c r="D64">
        <v>507.5</v>
      </c>
      <c r="E64">
        <v>570</v>
      </c>
      <c r="F64">
        <v>482.75</v>
      </c>
      <c r="G64" t="s">
        <v>149</v>
      </c>
      <c r="H64" s="2">
        <v>0.1313</v>
      </c>
    </row>
    <row r="65" spans="2:9">
      <c r="B65" s="1">
        <v>44136</v>
      </c>
      <c r="C65">
        <v>495</v>
      </c>
      <c r="D65">
        <v>445.5</v>
      </c>
      <c r="E65">
        <v>516</v>
      </c>
      <c r="F65">
        <v>430</v>
      </c>
      <c r="G65" t="s">
        <v>150</v>
      </c>
      <c r="H65" s="2">
        <v>0.13789999999999999</v>
      </c>
    </row>
    <row r="66" spans="2:9">
      <c r="B66" s="1">
        <v>44105</v>
      </c>
      <c r="C66">
        <v>435</v>
      </c>
      <c r="D66">
        <v>453.57</v>
      </c>
      <c r="E66">
        <v>494</v>
      </c>
      <c r="F66">
        <v>430</v>
      </c>
      <c r="G66" t="s">
        <v>151</v>
      </c>
      <c r="H66" s="2">
        <v>-4.3999999999999997E-2</v>
      </c>
    </row>
    <row r="67" spans="2:9">
      <c r="B67" s="1">
        <v>44075</v>
      </c>
      <c r="C67">
        <v>455</v>
      </c>
      <c r="D67">
        <v>430</v>
      </c>
      <c r="E67">
        <v>479</v>
      </c>
      <c r="F67">
        <v>420</v>
      </c>
      <c r="G67" t="s">
        <v>152</v>
      </c>
      <c r="H67" s="2">
        <v>7.5700000000000003E-2</v>
      </c>
    </row>
    <row r="68" spans="2:9">
      <c r="B68" s="1">
        <v>44044</v>
      </c>
      <c r="C68">
        <v>423</v>
      </c>
      <c r="D68">
        <v>420</v>
      </c>
      <c r="E68">
        <v>445</v>
      </c>
      <c r="F68">
        <v>388.51</v>
      </c>
      <c r="G68" t="s">
        <v>153</v>
      </c>
      <c r="H68" s="2">
        <v>-2.98E-2</v>
      </c>
    </row>
    <row r="69" spans="2:9">
      <c r="B69" s="1">
        <v>44013</v>
      </c>
      <c r="C69">
        <v>436</v>
      </c>
      <c r="D69">
        <v>447.8</v>
      </c>
      <c r="E69">
        <v>474</v>
      </c>
      <c r="F69">
        <v>421</v>
      </c>
      <c r="G69" t="s">
        <v>154</v>
      </c>
      <c r="H69" s="2">
        <v>-1.5800000000000002E-2</v>
      </c>
    </row>
    <row r="70" spans="2:9">
      <c r="B70" s="1">
        <v>43983</v>
      </c>
      <c r="C70">
        <v>443</v>
      </c>
      <c r="D70">
        <v>474</v>
      </c>
      <c r="E70">
        <v>514</v>
      </c>
      <c r="F70">
        <v>416</v>
      </c>
      <c r="G70" t="s">
        <v>155</v>
      </c>
      <c r="H70" s="2">
        <v>-4.3200000000000002E-2</v>
      </c>
    </row>
    <row r="71" spans="2:9">
      <c r="B71" s="1">
        <v>43952</v>
      </c>
      <c r="C71">
        <v>463</v>
      </c>
      <c r="D71">
        <v>456.6</v>
      </c>
      <c r="E71">
        <v>489</v>
      </c>
      <c r="F71">
        <v>405</v>
      </c>
      <c r="G71" t="s">
        <v>156</v>
      </c>
      <c r="H71" s="2">
        <v>2.4299999999999999E-2</v>
      </c>
    </row>
    <row r="72" spans="2:9">
      <c r="B72" s="1">
        <v>43922</v>
      </c>
      <c r="C72">
        <v>452</v>
      </c>
      <c r="D72">
        <v>370</v>
      </c>
      <c r="E72">
        <v>478</v>
      </c>
      <c r="F72">
        <v>346</v>
      </c>
      <c r="G72" t="s">
        <v>157</v>
      </c>
      <c r="H72" s="2">
        <v>0.2021</v>
      </c>
    </row>
    <row r="73" spans="2:9">
      <c r="B73" s="1">
        <v>43891</v>
      </c>
      <c r="C73">
        <v>376</v>
      </c>
      <c r="D73">
        <v>493</v>
      </c>
      <c r="E73">
        <v>530</v>
      </c>
      <c r="F73">
        <v>304</v>
      </c>
      <c r="G73" t="s">
        <v>158</v>
      </c>
      <c r="H73" s="2">
        <v>-0.2389</v>
      </c>
    </row>
    <row r="74" spans="2:9">
      <c r="B74" s="1">
        <v>43862</v>
      </c>
      <c r="C74">
        <v>494</v>
      </c>
      <c r="D74">
        <v>504</v>
      </c>
      <c r="E74">
        <v>570</v>
      </c>
      <c r="F74">
        <v>480.13</v>
      </c>
      <c r="G74" t="s">
        <v>21</v>
      </c>
      <c r="H74" s="2">
        <v>-1.2E-2</v>
      </c>
    </row>
    <row r="75" spans="2:9">
      <c r="B75" s="1">
        <v>43831</v>
      </c>
      <c r="C75">
        <v>500</v>
      </c>
      <c r="D75">
        <v>546</v>
      </c>
      <c r="E75">
        <v>568</v>
      </c>
      <c r="F75">
        <v>487</v>
      </c>
      <c r="G75" t="s">
        <v>159</v>
      </c>
      <c r="H75" s="2">
        <v>-8.4199999999999997E-2</v>
      </c>
      <c r="I75" s="38"/>
    </row>
    <row r="76" spans="2:9">
      <c r="B76" s="1">
        <v>43800</v>
      </c>
      <c r="C76">
        <v>546</v>
      </c>
      <c r="D76">
        <v>390</v>
      </c>
      <c r="E76">
        <v>560</v>
      </c>
      <c r="F76">
        <v>390</v>
      </c>
      <c r="G76" t="s">
        <v>160</v>
      </c>
      <c r="H76" s="2">
        <v>0.4</v>
      </c>
    </row>
    <row r="77" spans="2:9">
      <c r="B77" s="1">
        <v>43770</v>
      </c>
      <c r="C77">
        <v>390</v>
      </c>
      <c r="D77">
        <v>377</v>
      </c>
      <c r="E77">
        <v>420</v>
      </c>
      <c r="F77">
        <v>375</v>
      </c>
      <c r="G77" t="s">
        <v>161</v>
      </c>
      <c r="H77" s="2">
        <v>1.83E-2</v>
      </c>
    </row>
    <row r="78" spans="2:9">
      <c r="B78" s="1">
        <v>43739</v>
      </c>
      <c r="C78">
        <v>383</v>
      </c>
      <c r="D78">
        <v>393</v>
      </c>
      <c r="E78">
        <v>399</v>
      </c>
      <c r="F78">
        <v>359.6</v>
      </c>
      <c r="G78" t="s">
        <v>162</v>
      </c>
      <c r="H78" s="2">
        <v>-5.1999999999999998E-3</v>
      </c>
    </row>
    <row r="79" spans="2:9">
      <c r="B79" s="1">
        <v>43709</v>
      </c>
      <c r="C79">
        <v>385</v>
      </c>
      <c r="D79">
        <v>389</v>
      </c>
      <c r="E79">
        <v>400</v>
      </c>
      <c r="F79">
        <v>376</v>
      </c>
      <c r="G79" t="s">
        <v>163</v>
      </c>
      <c r="H79" s="2">
        <v>-3.8999999999999998E-3</v>
      </c>
    </row>
    <row r="80" spans="2:9">
      <c r="B80" s="1">
        <v>43678</v>
      </c>
      <c r="C80">
        <v>386.5</v>
      </c>
      <c r="D80">
        <v>402.1</v>
      </c>
      <c r="E80">
        <v>409</v>
      </c>
      <c r="F80">
        <v>376</v>
      </c>
      <c r="G80" t="s">
        <v>156</v>
      </c>
      <c r="H80" s="2">
        <v>-3.3799999999999997E-2</v>
      </c>
    </row>
    <row r="81" spans="2:8">
      <c r="B81" s="1">
        <v>43647</v>
      </c>
      <c r="C81">
        <v>400</v>
      </c>
      <c r="D81">
        <v>416.9</v>
      </c>
      <c r="E81">
        <v>420</v>
      </c>
      <c r="F81">
        <v>375.1</v>
      </c>
      <c r="G81" t="s">
        <v>156</v>
      </c>
      <c r="H81" s="2">
        <v>-3.61E-2</v>
      </c>
    </row>
    <row r="82" spans="2:8">
      <c r="B82" s="1">
        <v>43617</v>
      </c>
      <c r="C82">
        <v>415</v>
      </c>
      <c r="D82">
        <v>427</v>
      </c>
      <c r="E82">
        <v>435</v>
      </c>
      <c r="F82">
        <v>400</v>
      </c>
      <c r="G82" t="s">
        <v>164</v>
      </c>
      <c r="H82" s="2">
        <v>-3.49E-2</v>
      </c>
    </row>
    <row r="83" spans="2:8">
      <c r="B83" s="1">
        <v>43586</v>
      </c>
      <c r="C83">
        <v>430</v>
      </c>
      <c r="D83">
        <v>391</v>
      </c>
      <c r="E83">
        <v>439</v>
      </c>
      <c r="F83">
        <v>388.6</v>
      </c>
      <c r="G83" t="s">
        <v>165</v>
      </c>
      <c r="H83" s="2">
        <v>0.1012</v>
      </c>
    </row>
    <row r="84" spans="2:8">
      <c r="B84" s="1">
        <v>43556</v>
      </c>
      <c r="C84">
        <v>390.5</v>
      </c>
      <c r="D84">
        <v>395</v>
      </c>
      <c r="E84">
        <v>410</v>
      </c>
      <c r="F84">
        <v>386</v>
      </c>
      <c r="G84" t="s">
        <v>166</v>
      </c>
      <c r="H84" s="2">
        <v>-2.86E-2</v>
      </c>
    </row>
    <row r="85" spans="2:8">
      <c r="B85" s="1">
        <v>43525</v>
      </c>
      <c r="C85">
        <v>402</v>
      </c>
      <c r="D85">
        <v>386.1</v>
      </c>
      <c r="E85">
        <v>410</v>
      </c>
      <c r="F85">
        <v>376</v>
      </c>
      <c r="G85" t="s">
        <v>163</v>
      </c>
      <c r="H85" s="2">
        <v>6.6299999999999998E-2</v>
      </c>
    </row>
    <row r="86" spans="2:8">
      <c r="B86" s="1">
        <v>43497</v>
      </c>
      <c r="C86">
        <v>377</v>
      </c>
      <c r="D86">
        <v>368</v>
      </c>
      <c r="E86">
        <v>397</v>
      </c>
      <c r="F86">
        <v>366</v>
      </c>
      <c r="G86" t="s">
        <v>167</v>
      </c>
      <c r="H86" s="2">
        <v>2.1700000000000001E-2</v>
      </c>
    </row>
    <row r="87" spans="2:8">
      <c r="B87" s="1">
        <v>43466</v>
      </c>
      <c r="C87">
        <v>369</v>
      </c>
      <c r="D87">
        <v>330</v>
      </c>
      <c r="E87">
        <v>379</v>
      </c>
      <c r="F87">
        <v>330</v>
      </c>
      <c r="G87" t="s">
        <v>168</v>
      </c>
      <c r="H87" s="2">
        <v>8.6900000000000005E-2</v>
      </c>
    </row>
    <row r="88" spans="2:8">
      <c r="B88" s="3"/>
    </row>
    <row r="90" spans="2:8">
      <c r="C90" s="2"/>
    </row>
  </sheetData>
  <hyperlinks>
    <hyperlink ref="A1" location="Main!A1" display="Main" xr:uid="{41877205-2335-F040-A61D-C992889343D1}"/>
  </hyperlink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WACC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Parkhomenko</dc:creator>
  <cp:lastModifiedBy>Dmytro Parkhomenko</cp:lastModifiedBy>
  <dcterms:created xsi:type="dcterms:W3CDTF">2026-01-29T00:03:03Z</dcterms:created>
  <dcterms:modified xsi:type="dcterms:W3CDTF">2026-02-03T00:24:44Z</dcterms:modified>
</cp:coreProperties>
</file>