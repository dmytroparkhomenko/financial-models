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a87f973740ffce/Documents/Personal/Finance/Models/"/>
    </mc:Choice>
  </mc:AlternateContent>
  <xr:revisionPtr revIDLastSave="2694" documentId="8_{ED267F20-D94D-D94E-943C-F0483419986F}" xr6:coauthVersionLast="47" xr6:coauthVersionMax="47" xr10:uidLastSave="{62C1AD9B-0AB0-2547-9A30-F7B3AF390C7D}"/>
  <bookViews>
    <workbookView xWindow="0" yWindow="700" windowWidth="30220" windowHeight="17860" activeTab="6" xr2:uid="{2D24E3F0-5AC2-084A-A5AB-A55EC1353B84}"/>
  </bookViews>
  <sheets>
    <sheet name="Main" sheetId="3" r:id="rId1"/>
    <sheet name="Model" sheetId="4" r:id="rId2"/>
    <sheet name="WACC" sheetId="6" r:id="rId3"/>
    <sheet name="Charts" sheetId="11" r:id="rId4"/>
    <sheet name="Regression" sheetId="14" r:id="rId5"/>
    <sheet name="_RNWHabs&amp;InterestRate" sheetId="15" r:id="rId6"/>
    <sheet name="Statistics_RNWH&amp;FTSE100 " sheetId="1" r:id="rId7"/>
    <sheet name="CPI " sheetId="12" r:id="rId8"/>
    <sheet name="Interest Rate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4" l="1"/>
  <c r="Q30" i="4"/>
  <c r="T30" i="4"/>
  <c r="N32" i="4"/>
  <c r="Q32" i="4"/>
  <c r="T32" i="4"/>
  <c r="T10" i="1"/>
  <c r="E89" i="11"/>
  <c r="S8" i="1"/>
  <c r="S14" i="1" s="1"/>
  <c r="S11" i="1"/>
  <c r="V10" i="1"/>
  <c r="V9" i="1"/>
  <c r="Y6" i="1"/>
  <c r="Y4" i="1"/>
  <c r="Y3" i="1"/>
  <c r="V6" i="1"/>
  <c r="S15" i="1" s="1"/>
  <c r="S3" i="1"/>
  <c r="S4" i="1"/>
  <c r="S5" i="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4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4" i="11"/>
  <c r="K19" i="3"/>
  <c r="I74" i="4"/>
  <c r="J74" i="4" s="1"/>
  <c r="K74" i="4" s="1"/>
  <c r="L74" i="4" s="1"/>
  <c r="M74" i="4" s="1"/>
  <c r="N74" i="4" s="1"/>
  <c r="I71" i="4"/>
  <c r="I3" i="4"/>
  <c r="T35" i="4"/>
  <c r="Q35" i="4"/>
  <c r="N35" i="4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4" i="11"/>
  <c r="O29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3" i="11"/>
  <c r="D21" i="4"/>
  <c r="F21" i="4"/>
  <c r="G21" i="4"/>
  <c r="H21" i="4"/>
  <c r="E21" i="4"/>
  <c r="O61" i="11" l="1"/>
  <c r="X61" i="11"/>
  <c r="J3" i="4"/>
  <c r="J71" i="4"/>
  <c r="G55" i="4"/>
  <c r="H55" i="4"/>
  <c r="H32" i="4"/>
  <c r="G32" i="4"/>
  <c r="F32" i="4"/>
  <c r="E32" i="4"/>
  <c r="D32" i="4"/>
  <c r="C32" i="4"/>
  <c r="F24" i="4"/>
  <c r="K3" i="4" l="1"/>
  <c r="K71" i="4"/>
  <c r="K32" i="4"/>
  <c r="J32" i="4"/>
  <c r="G59" i="4"/>
  <c r="G58" i="4"/>
  <c r="G57" i="4"/>
  <c r="G50" i="4"/>
  <c r="G49" i="4"/>
  <c r="G47" i="4"/>
  <c r="G46" i="4"/>
  <c r="G45" i="4"/>
  <c r="G43" i="4"/>
  <c r="H49" i="4"/>
  <c r="H59" i="4"/>
  <c r="H46" i="4"/>
  <c r="H45" i="4"/>
  <c r="H44" i="4"/>
  <c r="H43" i="4"/>
  <c r="L3" i="4" l="1"/>
  <c r="L71" i="4"/>
  <c r="G60" i="4"/>
  <c r="H60" i="4"/>
  <c r="K25" i="3" s="1"/>
  <c r="H51" i="4"/>
  <c r="K24" i="3" s="1"/>
  <c r="G51" i="4"/>
  <c r="G62" i="4" s="1"/>
  <c r="G63" i="4" s="1"/>
  <c r="C24" i="4"/>
  <c r="C25" i="4" s="1"/>
  <c r="C31" i="4" s="1"/>
  <c r="D25" i="4"/>
  <c r="D31" i="4" s="1"/>
  <c r="E24" i="4"/>
  <c r="E25" i="4" s="1"/>
  <c r="E31" i="4" s="1"/>
  <c r="F25" i="4"/>
  <c r="F31" i="4" s="1"/>
  <c r="G25" i="4"/>
  <c r="G31" i="4" s="1"/>
  <c r="H25" i="4"/>
  <c r="H31" i="4" s="1"/>
  <c r="M3" i="4" l="1"/>
  <c r="M71" i="4"/>
  <c r="K22" i="3"/>
  <c r="K21" i="3"/>
  <c r="H62" i="4"/>
  <c r="K27" i="3"/>
  <c r="K28" i="3" s="1"/>
  <c r="K29" i="3" s="1"/>
  <c r="K31" i="4"/>
  <c r="L25" i="4" s="1"/>
  <c r="J31" i="4"/>
  <c r="K31" i="3"/>
  <c r="K32" i="3" s="1"/>
  <c r="K33" i="3" s="1"/>
  <c r="D39" i="4"/>
  <c r="F39" i="4"/>
  <c r="H39" i="4"/>
  <c r="E39" i="4"/>
  <c r="G39" i="4"/>
  <c r="C8" i="6"/>
  <c r="C16" i="6"/>
  <c r="H63" i="4" l="1"/>
  <c r="C15" i="6"/>
  <c r="I75" i="4"/>
  <c r="I25" i="4"/>
  <c r="K75" i="4"/>
  <c r="I72" i="4"/>
  <c r="J75" i="4"/>
  <c r="J72" i="4"/>
  <c r="J25" i="4"/>
  <c r="L75" i="4"/>
  <c r="K72" i="4"/>
  <c r="N75" i="4"/>
  <c r="O75" i="4" s="1"/>
  <c r="P75" i="4" s="1"/>
  <c r="Q75" i="4" s="1"/>
  <c r="R75" i="4" s="1"/>
  <c r="S75" i="4" s="1"/>
  <c r="T75" i="4" s="1"/>
  <c r="U75" i="4" s="1"/>
  <c r="V75" i="4" s="1"/>
  <c r="W75" i="4" s="1"/>
  <c r="X75" i="4" s="1"/>
  <c r="Y75" i="4" s="1"/>
  <c r="Z75" i="4" s="1"/>
  <c r="AA75" i="4" s="1"/>
  <c r="AB75" i="4" s="1"/>
  <c r="AC75" i="4" s="1"/>
  <c r="AD75" i="4" s="1"/>
  <c r="AE75" i="4" s="1"/>
  <c r="AF75" i="4" s="1"/>
  <c r="AG75" i="4" s="1"/>
  <c r="AH75" i="4" s="1"/>
  <c r="AI75" i="4" s="1"/>
  <c r="AJ75" i="4" s="1"/>
  <c r="AK75" i="4" s="1"/>
  <c r="AL75" i="4" s="1"/>
  <c r="AM75" i="4" s="1"/>
  <c r="AN75" i="4" s="1"/>
  <c r="AO75" i="4" s="1"/>
  <c r="AP75" i="4" s="1"/>
  <c r="AQ75" i="4" s="1"/>
  <c r="AR75" i="4" s="1"/>
  <c r="AS75" i="4" s="1"/>
  <c r="AT75" i="4" s="1"/>
  <c r="AU75" i="4" s="1"/>
  <c r="AV75" i="4" s="1"/>
  <c r="AW75" i="4" s="1"/>
  <c r="AX75" i="4" s="1"/>
  <c r="AY75" i="4" s="1"/>
  <c r="AZ75" i="4" s="1"/>
  <c r="BA75" i="4" s="1"/>
  <c r="BB75" i="4" s="1"/>
  <c r="BC75" i="4" s="1"/>
  <c r="BD75" i="4" s="1"/>
  <c r="BE75" i="4" s="1"/>
  <c r="BF75" i="4" s="1"/>
  <c r="BG75" i="4" s="1"/>
  <c r="BH75" i="4" s="1"/>
  <c r="BI75" i="4" s="1"/>
  <c r="BJ75" i="4" s="1"/>
  <c r="BK75" i="4" s="1"/>
  <c r="BL75" i="4" s="1"/>
  <c r="BM75" i="4" s="1"/>
  <c r="BN75" i="4" s="1"/>
  <c r="BO75" i="4" s="1"/>
  <c r="BP75" i="4" s="1"/>
  <c r="BQ75" i="4" s="1"/>
  <c r="BR75" i="4" s="1"/>
  <c r="BS75" i="4" s="1"/>
  <c r="BT75" i="4" s="1"/>
  <c r="BU75" i="4" s="1"/>
  <c r="BV75" i="4" s="1"/>
  <c r="BW75" i="4" s="1"/>
  <c r="BX75" i="4" s="1"/>
  <c r="BY75" i="4" s="1"/>
  <c r="BZ75" i="4" s="1"/>
  <c r="CA75" i="4" s="1"/>
  <c r="CB75" i="4" s="1"/>
  <c r="CC75" i="4" s="1"/>
  <c r="CD75" i="4" s="1"/>
  <c r="CE75" i="4" s="1"/>
  <c r="CF75" i="4" s="1"/>
  <c r="CG75" i="4" s="1"/>
  <c r="CH75" i="4" s="1"/>
  <c r="CI75" i="4" s="1"/>
  <c r="CJ75" i="4" s="1"/>
  <c r="CK75" i="4" s="1"/>
  <c r="CL75" i="4" s="1"/>
  <c r="CM75" i="4" s="1"/>
  <c r="CN75" i="4" s="1"/>
  <c r="CO75" i="4" s="1"/>
  <c r="CP75" i="4" s="1"/>
  <c r="CQ75" i="4" s="1"/>
  <c r="CR75" i="4" s="1"/>
  <c r="CS75" i="4" s="1"/>
  <c r="CT75" i="4" s="1"/>
  <c r="CU75" i="4" s="1"/>
  <c r="CV75" i="4" s="1"/>
  <c r="CW75" i="4" s="1"/>
  <c r="CX75" i="4" s="1"/>
  <c r="CY75" i="4" s="1"/>
  <c r="CZ75" i="4" s="1"/>
  <c r="DA75" i="4" s="1"/>
  <c r="DB75" i="4" s="1"/>
  <c r="DC75" i="4" s="1"/>
  <c r="DD75" i="4" s="1"/>
  <c r="DE75" i="4" s="1"/>
  <c r="DF75" i="4" s="1"/>
  <c r="DG75" i="4" s="1"/>
  <c r="DH75" i="4" s="1"/>
  <c r="DI75" i="4" s="1"/>
  <c r="DJ75" i="4" s="1"/>
  <c r="DK75" i="4" s="1"/>
  <c r="DL75" i="4" s="1"/>
  <c r="DM75" i="4" s="1"/>
  <c r="DN75" i="4" s="1"/>
  <c r="DO75" i="4" s="1"/>
  <c r="DP75" i="4" s="1"/>
  <c r="DQ75" i="4" s="1"/>
  <c r="DR75" i="4" s="1"/>
  <c r="DS75" i="4" s="1"/>
  <c r="DT75" i="4" s="1"/>
  <c r="DU75" i="4" s="1"/>
  <c r="DV75" i="4" s="1"/>
  <c r="DW75" i="4" s="1"/>
  <c r="DX75" i="4" s="1"/>
  <c r="DY75" i="4" s="1"/>
  <c r="DZ75" i="4" s="1"/>
  <c r="EA75" i="4" s="1"/>
  <c r="EB75" i="4" s="1"/>
  <c r="EC75" i="4" s="1"/>
  <c r="ED75" i="4" s="1"/>
  <c r="EE75" i="4" s="1"/>
  <c r="EF75" i="4" s="1"/>
  <c r="EG75" i="4" s="1"/>
  <c r="EH75" i="4" s="1"/>
  <c r="EI75" i="4" s="1"/>
  <c r="EJ75" i="4" s="1"/>
  <c r="EK75" i="4" s="1"/>
  <c r="EL75" i="4" s="1"/>
  <c r="EM75" i="4" s="1"/>
  <c r="EN75" i="4" s="1"/>
  <c r="EO75" i="4" s="1"/>
  <c r="EP75" i="4" s="1"/>
  <c r="EQ75" i="4" s="1"/>
  <c r="ER75" i="4" s="1"/>
  <c r="ES75" i="4" s="1"/>
  <c r="ET75" i="4" s="1"/>
  <c r="EU75" i="4" s="1"/>
  <c r="EV75" i="4" s="1"/>
  <c r="EW75" i="4" s="1"/>
  <c r="EX75" i="4" s="1"/>
  <c r="EY75" i="4" s="1"/>
  <c r="EZ75" i="4" s="1"/>
  <c r="FA75" i="4" s="1"/>
  <c r="FB75" i="4" s="1"/>
  <c r="M75" i="4"/>
  <c r="K25" i="4"/>
  <c r="L72" i="4"/>
  <c r="N3" i="4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EG25" i="4" s="1"/>
  <c r="EH25" i="4" s="1"/>
  <c r="EI25" i="4" s="1"/>
  <c r="EJ25" i="4" s="1"/>
  <c r="EK25" i="4" s="1"/>
  <c r="EL25" i="4" s="1"/>
  <c r="EM25" i="4" s="1"/>
  <c r="EN25" i="4" s="1"/>
  <c r="EO25" i="4" s="1"/>
  <c r="EP25" i="4" s="1"/>
  <c r="EQ25" i="4" s="1"/>
  <c r="ER25" i="4" s="1"/>
  <c r="ES25" i="4" s="1"/>
  <c r="ET25" i="4" s="1"/>
  <c r="EU25" i="4" s="1"/>
  <c r="EV25" i="4" s="1"/>
  <c r="EW25" i="4" s="1"/>
  <c r="EX25" i="4" s="1"/>
  <c r="EY25" i="4" s="1"/>
  <c r="EZ25" i="4" s="1"/>
  <c r="FA25" i="4" s="1"/>
  <c r="FB25" i="4" s="1"/>
  <c r="FC25" i="4" s="1"/>
  <c r="FD25" i="4" s="1"/>
  <c r="FE25" i="4" s="1"/>
  <c r="FF25" i="4" s="1"/>
  <c r="FG25" i="4" s="1"/>
  <c r="FH25" i="4" s="1"/>
  <c r="FI25" i="4" s="1"/>
  <c r="FJ25" i="4" s="1"/>
  <c r="FK25" i="4" s="1"/>
  <c r="FL25" i="4" s="1"/>
  <c r="FM25" i="4" s="1"/>
  <c r="FN25" i="4" s="1"/>
  <c r="FO25" i="4" s="1"/>
  <c r="FP25" i="4" s="1"/>
  <c r="FQ25" i="4" s="1"/>
  <c r="FR25" i="4" s="1"/>
  <c r="FS25" i="4" s="1"/>
  <c r="FT25" i="4" s="1"/>
  <c r="FU25" i="4" s="1"/>
  <c r="FV25" i="4" s="1"/>
  <c r="FW25" i="4" s="1"/>
  <c r="FX25" i="4" s="1"/>
  <c r="FY25" i="4" s="1"/>
  <c r="FZ25" i="4" s="1"/>
  <c r="GA25" i="4" s="1"/>
  <c r="GB25" i="4" s="1"/>
  <c r="GC25" i="4" s="1"/>
  <c r="GD25" i="4" s="1"/>
  <c r="GE25" i="4" s="1"/>
  <c r="GF25" i="4" s="1"/>
  <c r="GG25" i="4" s="1"/>
  <c r="GH25" i="4" s="1"/>
  <c r="GI25" i="4" s="1"/>
  <c r="GJ25" i="4" s="1"/>
  <c r="M25" i="4"/>
  <c r="N71" i="4"/>
  <c r="N72" i="4" s="1"/>
  <c r="O72" i="4" s="1"/>
  <c r="P72" i="4" s="1"/>
  <c r="Q72" i="4" s="1"/>
  <c r="R72" i="4" s="1"/>
  <c r="S72" i="4" s="1"/>
  <c r="T72" i="4" s="1"/>
  <c r="U72" i="4" s="1"/>
  <c r="V72" i="4" s="1"/>
  <c r="W72" i="4" s="1"/>
  <c r="X72" i="4" s="1"/>
  <c r="Y72" i="4" s="1"/>
  <c r="Z72" i="4" s="1"/>
  <c r="AA72" i="4" s="1"/>
  <c r="AB72" i="4" s="1"/>
  <c r="AC72" i="4" s="1"/>
  <c r="AD72" i="4" s="1"/>
  <c r="AE72" i="4" s="1"/>
  <c r="AF72" i="4" s="1"/>
  <c r="AG72" i="4" s="1"/>
  <c r="AH72" i="4" s="1"/>
  <c r="AI72" i="4" s="1"/>
  <c r="AJ72" i="4" s="1"/>
  <c r="AK72" i="4" s="1"/>
  <c r="AL72" i="4" s="1"/>
  <c r="AM72" i="4" s="1"/>
  <c r="AN72" i="4" s="1"/>
  <c r="AO72" i="4" s="1"/>
  <c r="AP72" i="4" s="1"/>
  <c r="AQ72" i="4" s="1"/>
  <c r="AR72" i="4" s="1"/>
  <c r="AS72" i="4" s="1"/>
  <c r="AT72" i="4" s="1"/>
  <c r="AU72" i="4" s="1"/>
  <c r="AV72" i="4" s="1"/>
  <c r="AW72" i="4" s="1"/>
  <c r="AX72" i="4" s="1"/>
  <c r="AY72" i="4" s="1"/>
  <c r="AZ72" i="4" s="1"/>
  <c r="BA72" i="4" s="1"/>
  <c r="BB72" i="4" s="1"/>
  <c r="BC72" i="4" s="1"/>
  <c r="BD72" i="4" s="1"/>
  <c r="BE72" i="4" s="1"/>
  <c r="BF72" i="4" s="1"/>
  <c r="BG72" i="4" s="1"/>
  <c r="BH72" i="4" s="1"/>
  <c r="BI72" i="4" s="1"/>
  <c r="BJ72" i="4" s="1"/>
  <c r="BK72" i="4" s="1"/>
  <c r="BL72" i="4" s="1"/>
  <c r="BM72" i="4" s="1"/>
  <c r="BN72" i="4" s="1"/>
  <c r="BO72" i="4" s="1"/>
  <c r="BP72" i="4" s="1"/>
  <c r="BQ72" i="4" s="1"/>
  <c r="BR72" i="4" s="1"/>
  <c r="BS72" i="4" s="1"/>
  <c r="BT72" i="4" s="1"/>
  <c r="BU72" i="4" s="1"/>
  <c r="BV72" i="4" s="1"/>
  <c r="BW72" i="4" s="1"/>
  <c r="BX72" i="4" s="1"/>
  <c r="BY72" i="4" s="1"/>
  <c r="BZ72" i="4" s="1"/>
  <c r="CA72" i="4" s="1"/>
  <c r="CB72" i="4" s="1"/>
  <c r="CC72" i="4" s="1"/>
  <c r="CD72" i="4" s="1"/>
  <c r="CE72" i="4" s="1"/>
  <c r="CF72" i="4" s="1"/>
  <c r="CG72" i="4" s="1"/>
  <c r="CH72" i="4" s="1"/>
  <c r="CI72" i="4" s="1"/>
  <c r="CJ72" i="4" s="1"/>
  <c r="CK72" i="4" s="1"/>
  <c r="CL72" i="4" s="1"/>
  <c r="CM72" i="4" s="1"/>
  <c r="CN72" i="4" s="1"/>
  <c r="CO72" i="4" s="1"/>
  <c r="CP72" i="4" s="1"/>
  <c r="CQ72" i="4" s="1"/>
  <c r="CR72" i="4" s="1"/>
  <c r="CS72" i="4" s="1"/>
  <c r="CT72" i="4" s="1"/>
  <c r="CU72" i="4" s="1"/>
  <c r="CV72" i="4" s="1"/>
  <c r="CW72" i="4" s="1"/>
  <c r="CX72" i="4" s="1"/>
  <c r="CY72" i="4" s="1"/>
  <c r="CZ72" i="4" s="1"/>
  <c r="DA72" i="4" s="1"/>
  <c r="DB72" i="4" s="1"/>
  <c r="DC72" i="4" s="1"/>
  <c r="DD72" i="4" s="1"/>
  <c r="DE72" i="4" s="1"/>
  <c r="DF72" i="4" s="1"/>
  <c r="DG72" i="4" s="1"/>
  <c r="DH72" i="4" s="1"/>
  <c r="DI72" i="4" s="1"/>
  <c r="DJ72" i="4" s="1"/>
  <c r="DK72" i="4" s="1"/>
  <c r="DL72" i="4" s="1"/>
  <c r="DM72" i="4" s="1"/>
  <c r="DN72" i="4" s="1"/>
  <c r="DO72" i="4" s="1"/>
  <c r="DP72" i="4" s="1"/>
  <c r="DQ72" i="4" s="1"/>
  <c r="DR72" i="4" s="1"/>
  <c r="DS72" i="4" s="1"/>
  <c r="DT72" i="4" s="1"/>
  <c r="DU72" i="4" s="1"/>
  <c r="DV72" i="4" s="1"/>
  <c r="DW72" i="4" s="1"/>
  <c r="DX72" i="4" s="1"/>
  <c r="DY72" i="4" s="1"/>
  <c r="DZ72" i="4" s="1"/>
  <c r="EA72" i="4" s="1"/>
  <c r="EB72" i="4" s="1"/>
  <c r="EC72" i="4" s="1"/>
  <c r="ED72" i="4" s="1"/>
  <c r="EE72" i="4" s="1"/>
  <c r="EF72" i="4" s="1"/>
  <c r="EG72" i="4" s="1"/>
  <c r="EH72" i="4" s="1"/>
  <c r="EI72" i="4" s="1"/>
  <c r="EJ72" i="4" s="1"/>
  <c r="EK72" i="4" s="1"/>
  <c r="EL72" i="4" s="1"/>
  <c r="EM72" i="4" s="1"/>
  <c r="EN72" i="4" s="1"/>
  <c r="EO72" i="4" s="1"/>
  <c r="EP72" i="4" s="1"/>
  <c r="EQ72" i="4" s="1"/>
  <c r="ER72" i="4" s="1"/>
  <c r="ES72" i="4" s="1"/>
  <c r="ET72" i="4" s="1"/>
  <c r="EU72" i="4" s="1"/>
  <c r="EV72" i="4" s="1"/>
  <c r="EW72" i="4" s="1"/>
  <c r="EX72" i="4" s="1"/>
  <c r="EY72" i="4" s="1"/>
  <c r="EZ72" i="4" s="1"/>
  <c r="FA72" i="4" s="1"/>
  <c r="FB72" i="4" s="1"/>
  <c r="FC72" i="4" s="1"/>
  <c r="FD72" i="4" s="1"/>
  <c r="FE72" i="4" s="1"/>
  <c r="FF72" i="4" s="1"/>
  <c r="FG72" i="4" s="1"/>
  <c r="FH72" i="4" s="1"/>
  <c r="FI72" i="4" s="1"/>
  <c r="FJ72" i="4" s="1"/>
  <c r="M72" i="4"/>
  <c r="J39" i="4"/>
  <c r="K39" i="4"/>
  <c r="C4" i="6"/>
  <c r="C11" i="6" l="1"/>
  <c r="V7" i="1" l="1"/>
  <c r="V4" i="1"/>
  <c r="V3" i="1"/>
  <c r="S10" i="1"/>
  <c r="S7" i="1"/>
  <c r="S13" i="1" s="1"/>
  <c r="D35" i="4"/>
  <c r="E35" i="4"/>
  <c r="C5" i="4"/>
  <c r="C10" i="4" s="1"/>
  <c r="C15" i="4" s="1"/>
  <c r="C18" i="4" s="1"/>
  <c r="C20" i="4" s="1"/>
  <c r="C21" i="4" s="1"/>
  <c r="D5" i="4"/>
  <c r="D10" i="4" s="1"/>
  <c r="D15" i="4" s="1"/>
  <c r="D18" i="4" s="1"/>
  <c r="G35" i="4"/>
  <c r="H35" i="4"/>
  <c r="F35" i="4"/>
  <c r="E5" i="4"/>
  <c r="E10" i="4" s="1"/>
  <c r="E15" i="4" s="1"/>
  <c r="E18" i="4" s="1"/>
  <c r="E30" i="4" s="1"/>
  <c r="F5" i="4"/>
  <c r="F10" i="4" s="1"/>
  <c r="F15" i="4" s="1"/>
  <c r="F18" i="4" s="1"/>
  <c r="F30" i="4" s="1"/>
  <c r="H5" i="4"/>
  <c r="H10" i="4" s="1"/>
  <c r="H15" i="4" s="1"/>
  <c r="G5" i="4"/>
  <c r="G10" i="4" s="1"/>
  <c r="G15" i="4" s="1"/>
  <c r="G18" i="4" s="1"/>
  <c r="K7" i="3"/>
  <c r="C12" i="6" s="1"/>
  <c r="K5" i="3"/>
  <c r="C30" i="4" l="1"/>
  <c r="K35" i="4"/>
  <c r="G37" i="4"/>
  <c r="K8" i="3"/>
  <c r="K17" i="3" s="1"/>
  <c r="K34" i="3"/>
  <c r="H18" i="4"/>
  <c r="C13" i="6"/>
  <c r="C10" i="6" s="1"/>
  <c r="C2" i="6" s="1"/>
  <c r="J35" i="4"/>
  <c r="D28" i="4"/>
  <c r="K16" i="3"/>
  <c r="C29" i="4"/>
  <c r="C28" i="4"/>
  <c r="G36" i="4"/>
  <c r="G29" i="4"/>
  <c r="G28" i="4"/>
  <c r="D37" i="4"/>
  <c r="D30" i="4"/>
  <c r="D36" i="4"/>
  <c r="E37" i="4"/>
  <c r="E36" i="4"/>
  <c r="D29" i="4"/>
  <c r="H28" i="4"/>
  <c r="F36" i="4"/>
  <c r="F37" i="4"/>
  <c r="F28" i="4"/>
  <c r="F29" i="4"/>
  <c r="G30" i="4"/>
  <c r="H29" i="4"/>
  <c r="E29" i="4"/>
  <c r="H36" i="4"/>
  <c r="E28" i="4"/>
  <c r="K18" i="3"/>
  <c r="N33" i="4" l="1"/>
  <c r="T33" i="4"/>
  <c r="K29" i="4"/>
  <c r="K28" i="4"/>
  <c r="K36" i="4"/>
  <c r="H30" i="4"/>
  <c r="K30" i="4" s="1"/>
  <c r="H37" i="4"/>
  <c r="K37" i="4" s="1"/>
  <c r="J36" i="4"/>
  <c r="J28" i="4"/>
  <c r="J29" i="4"/>
  <c r="Q33" i="4" l="1"/>
  <c r="T34" i="4"/>
  <c r="N34" i="4"/>
  <c r="N36" i="4" s="1"/>
  <c r="J30" i="4"/>
  <c r="I10" i="4"/>
  <c r="J10" i="4"/>
  <c r="K10" i="4"/>
  <c r="L10" i="4"/>
  <c r="M10" i="4"/>
  <c r="N10" i="4"/>
  <c r="J37" i="4"/>
  <c r="M20" i="4" l="1"/>
  <c r="M21" i="4" s="1"/>
  <c r="I20" i="4"/>
  <c r="I21" i="4" s="1"/>
  <c r="J20" i="4"/>
  <c r="J21" i="4" s="1"/>
  <c r="T36" i="4"/>
  <c r="Q34" i="4"/>
  <c r="Q36" i="4" s="1"/>
  <c r="N20" i="4"/>
  <c r="N21" i="4" s="1"/>
  <c r="L20" i="4"/>
  <c r="L21" i="4" s="1"/>
  <c r="K20" i="4"/>
  <c r="K21" i="4" s="1"/>
</calcChain>
</file>

<file path=xl/sharedStrings.xml><?xml version="1.0" encoding="utf-8"?>
<sst xmlns="http://schemas.openxmlformats.org/spreadsheetml/2006/main" count="871" uniqueCount="789">
  <si>
    <t>Date</t>
  </si>
  <si>
    <t>Price</t>
  </si>
  <si>
    <t>Open</t>
  </si>
  <si>
    <t>High</t>
  </si>
  <si>
    <t>Low</t>
  </si>
  <si>
    <t>Vol.</t>
  </si>
  <si>
    <t>Change %</t>
  </si>
  <si>
    <t>2.04M</t>
  </si>
  <si>
    <t>3.16M</t>
  </si>
  <si>
    <t>4.41M</t>
  </si>
  <si>
    <t>6.14M</t>
  </si>
  <si>
    <t>3.77M</t>
  </si>
  <si>
    <t>2.44M</t>
  </si>
  <si>
    <t>3.07M</t>
  </si>
  <si>
    <t>3.21M</t>
  </si>
  <si>
    <t>3.51M</t>
  </si>
  <si>
    <t>4.47M</t>
  </si>
  <si>
    <t>6.52M</t>
  </si>
  <si>
    <t>4.83M</t>
  </si>
  <si>
    <t>6.54M</t>
  </si>
  <si>
    <t>2.93M</t>
  </si>
  <si>
    <t>3.15M</t>
  </si>
  <si>
    <t>6.70M</t>
  </si>
  <si>
    <t>3.58M</t>
  </si>
  <si>
    <t>2.67M</t>
  </si>
  <si>
    <t>2.79M</t>
  </si>
  <si>
    <t>2.66M</t>
  </si>
  <si>
    <t>4.05M</t>
  </si>
  <si>
    <t>3.95M</t>
  </si>
  <si>
    <t>3.00M</t>
  </si>
  <si>
    <t>2.91M</t>
  </si>
  <si>
    <t>3.63M</t>
  </si>
  <si>
    <t>2.57M</t>
  </si>
  <si>
    <t>3.22M</t>
  </si>
  <si>
    <t>2.51M</t>
  </si>
  <si>
    <t>2.89M</t>
  </si>
  <si>
    <t>6.97M</t>
  </si>
  <si>
    <t>3.40M</t>
  </si>
  <si>
    <t>3.35M</t>
  </si>
  <si>
    <t>3.96M</t>
  </si>
  <si>
    <t>2.71M</t>
  </si>
  <si>
    <t>1.27M</t>
  </si>
  <si>
    <t>1.93M</t>
  </si>
  <si>
    <t>1.97M</t>
  </si>
  <si>
    <t>2.97M</t>
  </si>
  <si>
    <t>2.05M</t>
  </si>
  <si>
    <t>1.62M</t>
  </si>
  <si>
    <t>1.61M</t>
  </si>
  <si>
    <t>1.92M</t>
  </si>
  <si>
    <t>1.57M</t>
  </si>
  <si>
    <t>1.39M</t>
  </si>
  <si>
    <t>2.29M</t>
  </si>
  <si>
    <t>2.13M</t>
  </si>
  <si>
    <t>1.64M</t>
  </si>
  <si>
    <t>3.28M</t>
  </si>
  <si>
    <t>2.09M</t>
  </si>
  <si>
    <t>1.63M</t>
  </si>
  <si>
    <t>1.90M</t>
  </si>
  <si>
    <t>1.54M</t>
  </si>
  <si>
    <t>2.80M</t>
  </si>
  <si>
    <t>1.66M</t>
  </si>
  <si>
    <t>2.56M</t>
  </si>
  <si>
    <t>2.11M</t>
  </si>
  <si>
    <t>1.84M</t>
  </si>
  <si>
    <t>Mean Price</t>
  </si>
  <si>
    <t xml:space="preserve">Mode Price </t>
  </si>
  <si>
    <t>Change</t>
  </si>
  <si>
    <t>Company number: 650447</t>
  </si>
  <si>
    <t>RENEW HOLDINGS PLC</t>
  </si>
  <si>
    <t>LON: RNWH</t>
  </si>
  <si>
    <t xml:space="preserve">Price </t>
  </si>
  <si>
    <t>Shares</t>
  </si>
  <si>
    <t>MC</t>
  </si>
  <si>
    <t>Cash</t>
  </si>
  <si>
    <t xml:space="preserve">Debt </t>
  </si>
  <si>
    <t xml:space="preserve">EV </t>
  </si>
  <si>
    <t>Industry: Industrials</t>
  </si>
  <si>
    <t>* all numbers in thousands, GBP</t>
  </si>
  <si>
    <t>927.00 GBX</t>
  </si>
  <si>
    <t>Cash = cash and equivalents</t>
  </si>
  <si>
    <t>*Strong net cash position</t>
  </si>
  <si>
    <t>Low risk business model</t>
  </si>
  <si>
    <t>Employees: 4,429</t>
  </si>
  <si>
    <t>Markets with committed regulatory funding</t>
  </si>
  <si>
    <t>£600bn UK Government commitment to infrastructure</t>
  </si>
  <si>
    <t>Rail</t>
  </si>
  <si>
    <t>Infrastructure</t>
  </si>
  <si>
    <t>Energy</t>
  </si>
  <si>
    <t>Environmental</t>
  </si>
  <si>
    <t>risk reduction operations at nuclear facilities</t>
  </si>
  <si>
    <t xml:space="preserve">specialist drainage, lighting and electricals at National Highways </t>
  </si>
  <si>
    <t>asset maintenance and renewals across water infrastructure</t>
  </si>
  <si>
    <t xml:space="preserve">Risks </t>
  </si>
  <si>
    <t>Earnings</t>
  </si>
  <si>
    <t>EV/E</t>
  </si>
  <si>
    <t>Delivering mission-critical infrastructure services across the UK</t>
  </si>
  <si>
    <t>Sector: Construction and Materials</t>
  </si>
  <si>
    <t>P/E</t>
  </si>
  <si>
    <t xml:space="preserve">EBIT </t>
  </si>
  <si>
    <t>EV/EBIT</t>
  </si>
  <si>
    <t xml:space="preserve">Revenue </t>
  </si>
  <si>
    <t xml:space="preserve">Cost of revenue </t>
  </si>
  <si>
    <t xml:space="preserve">Gross profit </t>
  </si>
  <si>
    <t xml:space="preserve">Other income </t>
  </si>
  <si>
    <t xml:space="preserve">Operating profit </t>
  </si>
  <si>
    <t xml:space="preserve">Finance income </t>
  </si>
  <si>
    <t xml:space="preserve">Finance costs </t>
  </si>
  <si>
    <t xml:space="preserve">Other finance income </t>
  </si>
  <si>
    <t xml:space="preserve">Pretax profit </t>
  </si>
  <si>
    <t xml:space="preserve">Profit (net income) </t>
  </si>
  <si>
    <t>Taxes</t>
  </si>
  <si>
    <t>Profit continued activities</t>
  </si>
  <si>
    <t>Loss from discontinued operations</t>
  </si>
  <si>
    <t>Joint ventures post-tax (loss)</t>
  </si>
  <si>
    <t>Main</t>
  </si>
  <si>
    <t>Y2024</t>
  </si>
  <si>
    <t xml:space="preserve">Gross margin </t>
  </si>
  <si>
    <t xml:space="preserve">Profit margin </t>
  </si>
  <si>
    <t>Revenue growth y/y</t>
  </si>
  <si>
    <t>Profit growth y/y</t>
  </si>
  <si>
    <t xml:space="preserve">Operating profit margin </t>
  </si>
  <si>
    <t xml:space="preserve">Average margins </t>
  </si>
  <si>
    <t xml:space="preserve">Average growth rates   </t>
  </si>
  <si>
    <t xml:space="preserve">Median margins </t>
  </si>
  <si>
    <t xml:space="preserve">Median growth rates   </t>
  </si>
  <si>
    <t xml:space="preserve">IPO: 2006 </t>
  </si>
  <si>
    <t xml:space="preserve">CEO </t>
  </si>
  <si>
    <t>CFO</t>
  </si>
  <si>
    <t>Paul Scott</t>
  </si>
  <si>
    <t>Sean Wyndham-Quin</t>
  </si>
  <si>
    <t>Chairman</t>
  </si>
  <si>
    <t>David Brown</t>
  </si>
  <si>
    <t>1.86M</t>
  </si>
  <si>
    <t>1.77M</t>
  </si>
  <si>
    <t>1.12M</t>
  </si>
  <si>
    <t>2.64M</t>
  </si>
  <si>
    <t>1.42M</t>
  </si>
  <si>
    <t>1.71M</t>
  </si>
  <si>
    <t>2.01M</t>
  </si>
  <si>
    <t>1.55M</t>
  </si>
  <si>
    <t>2.02M</t>
  </si>
  <si>
    <t>3.31M</t>
  </si>
  <si>
    <t>2.07M</t>
  </si>
  <si>
    <t>2.65M</t>
  </si>
  <si>
    <t>2.70M</t>
  </si>
  <si>
    <t>1.91M</t>
  </si>
  <si>
    <t>1.32M</t>
  </si>
  <si>
    <t>2.34M</t>
  </si>
  <si>
    <t>1.58M</t>
  </si>
  <si>
    <t>1.19M</t>
  </si>
  <si>
    <t>1.04M</t>
  </si>
  <si>
    <t>1.46M</t>
  </si>
  <si>
    <t xml:space="preserve">Discount </t>
  </si>
  <si>
    <t xml:space="preserve">NPV </t>
  </si>
  <si>
    <t>Share</t>
  </si>
  <si>
    <t xml:space="preserve">Current </t>
  </si>
  <si>
    <t>Cost of Debt = (Total Interest Expense / Total Debt) x (1 - Tax Rate)</t>
  </si>
  <si>
    <t>Total Debt = Short-Term Debt + Long-Term Debt</t>
  </si>
  <si>
    <t xml:space="preserve">Effective Tax Rate = Income Tax Expense / Earnings Before Taxes </t>
  </si>
  <si>
    <t>Pre-tax Cost of Debt = Interest Expense / Total Debt</t>
  </si>
  <si>
    <t xml:space="preserve">E = total value of company's equity = market cap </t>
  </si>
  <si>
    <t xml:space="preserve">D = total value of a debt = Total Debt </t>
  </si>
  <si>
    <t xml:space="preserve">V = E + D </t>
  </si>
  <si>
    <t xml:space="preserve">Re = Cost of Equity </t>
  </si>
  <si>
    <t xml:space="preserve">Rd = Cost of Debt </t>
  </si>
  <si>
    <t xml:space="preserve">Tc = Tax Rate </t>
  </si>
  <si>
    <t xml:space="preserve">WACC </t>
  </si>
  <si>
    <t xml:space="preserve">Cost of Equity </t>
  </si>
  <si>
    <t xml:space="preserve">Risk free rate </t>
  </si>
  <si>
    <t xml:space="preserve">Beta </t>
  </si>
  <si>
    <t xml:space="preserve">Market return </t>
  </si>
  <si>
    <t xml:space="preserve">Cost of Debt </t>
  </si>
  <si>
    <t>Maturity</t>
  </si>
  <si>
    <t xml:space="preserve">Cost of Equity = Risk free rate + stock beta * (Market Risk Premium) </t>
  </si>
  <si>
    <t xml:space="preserve">WACC = (E/V * Re) + (D/V * Rd * (1-Tc)) </t>
  </si>
  <si>
    <t>Market premium</t>
  </si>
  <si>
    <t>Debt / Equity (D/E)</t>
  </si>
  <si>
    <t xml:space="preserve">Industry average </t>
  </si>
  <si>
    <t>NTABPS</t>
  </si>
  <si>
    <t xml:space="preserve">Net Tangible Assets </t>
  </si>
  <si>
    <t>=Assets - Intangible assets - Liabilities</t>
  </si>
  <si>
    <t>=NTA / SO</t>
  </si>
  <si>
    <t xml:space="preserve">NTABPS/P, % </t>
  </si>
  <si>
    <t>Book Value</t>
  </si>
  <si>
    <t>BVPS</t>
  </si>
  <si>
    <t>Price-to-Book (P/B)</t>
  </si>
  <si>
    <t xml:space="preserve">Total liabilities </t>
  </si>
  <si>
    <t xml:space="preserve">Total assets </t>
  </si>
  <si>
    <t xml:space="preserve">BVPS/P, % </t>
  </si>
  <si>
    <t>OCF</t>
  </si>
  <si>
    <t xml:space="preserve">CapEx (PP&amp;E) </t>
  </si>
  <si>
    <t xml:space="preserve">FCF </t>
  </si>
  <si>
    <t>FCF growth y/y</t>
  </si>
  <si>
    <t>FTSE100 10y avg</t>
  </si>
  <si>
    <t xml:space="preserve">Interest expense </t>
  </si>
  <si>
    <t>Total debt</t>
  </si>
  <si>
    <t>Operating profit growth y/y</t>
  </si>
  <si>
    <t xml:space="preserve">Upside </t>
  </si>
  <si>
    <t xml:space="preserve">Balance sheet </t>
  </si>
  <si>
    <t>Goodwill+Intangibles</t>
  </si>
  <si>
    <t xml:space="preserve">Inventories </t>
  </si>
  <si>
    <t xml:space="preserve">A/R </t>
  </si>
  <si>
    <t xml:space="preserve">OCA </t>
  </si>
  <si>
    <t>ONCA</t>
  </si>
  <si>
    <t>ROU</t>
  </si>
  <si>
    <t>OCL</t>
  </si>
  <si>
    <t>ONCL</t>
  </si>
  <si>
    <t xml:space="preserve">A/P </t>
  </si>
  <si>
    <t xml:space="preserve">Assets </t>
  </si>
  <si>
    <t>Liabilities</t>
  </si>
  <si>
    <t xml:space="preserve">S/E </t>
  </si>
  <si>
    <t xml:space="preserve">L + S/E </t>
  </si>
  <si>
    <t>Lease debt (non-current)</t>
  </si>
  <si>
    <t xml:space="preserve">Debt (current) </t>
  </si>
  <si>
    <t>Debt = borrowings + current/non-current lease liabilities (interest-bearing debt)</t>
  </si>
  <si>
    <t xml:space="preserve">= % of share price backed by tangible net-assets </t>
  </si>
  <si>
    <t>Company: Engineering firm specializing in UK (and rest Europe) infrastructure maintenance</t>
  </si>
  <si>
    <t>10y UK bonds yield</t>
  </si>
  <si>
    <t xml:space="preserve">Effective tax rate </t>
  </si>
  <si>
    <t>* low WACC, however the D/E is higher than industry average - more debt-dependent</t>
  </si>
  <si>
    <t>Core Markets</t>
  </si>
  <si>
    <t>FY2024</t>
  </si>
  <si>
    <t>FY2019</t>
  </si>
  <si>
    <t>FY2020</t>
  </si>
  <si>
    <t>FY2021</t>
  </si>
  <si>
    <t>FY2022</t>
  </si>
  <si>
    <t>FY2023</t>
  </si>
  <si>
    <t>FY2025</t>
  </si>
  <si>
    <t>FY2026</t>
  </si>
  <si>
    <t>FY2027</t>
  </si>
  <si>
    <t>FY2028</t>
  </si>
  <si>
    <t>FY2029</t>
  </si>
  <si>
    <t>FY2030</t>
  </si>
  <si>
    <t>SG&amp;A</t>
  </si>
  <si>
    <t>FCF margin</t>
  </si>
  <si>
    <t xml:space="preserve">SG&amp;A % of revenue </t>
  </si>
  <si>
    <t>A/E</t>
  </si>
  <si>
    <t xml:space="preserve">Taxes </t>
  </si>
  <si>
    <t>*Forecast</t>
  </si>
  <si>
    <t xml:space="preserve">PP&amp;E </t>
  </si>
  <si>
    <t>5Y revenue growth</t>
  </si>
  <si>
    <t xml:space="preserve">ROE </t>
  </si>
  <si>
    <t>*great book value ratio (market average ~5.49)</t>
  </si>
  <si>
    <t xml:space="preserve">*Reference for sector based ratios: </t>
  </si>
  <si>
    <t>https://pages.stern.nyu.edu/~adamodar/New_Home_Page/datafile/pbvdata.html</t>
  </si>
  <si>
    <t xml:space="preserve">ROA </t>
  </si>
  <si>
    <t>*higher than market average (~5.6%)</t>
  </si>
  <si>
    <t>*slightly lower than market average (~26%)</t>
  </si>
  <si>
    <t>Not the contractor for new large projects, maintance and support mainly</t>
  </si>
  <si>
    <t xml:space="preserve">EPS </t>
  </si>
  <si>
    <t>Recurring maintenance demand</t>
  </si>
  <si>
    <t>Operating in complex, challenging and highly regulated environments (both stability factor and risk)</t>
  </si>
  <si>
    <t>Dependency on government contracts and commitments</t>
  </si>
  <si>
    <t>(Small tangible net-assets position as for a construction company)</t>
  </si>
  <si>
    <t>providing asset maintenance to the rail network (largest provider in the UK)</t>
  </si>
  <si>
    <t xml:space="preserve">Correlation </t>
  </si>
  <si>
    <t>16.01B</t>
  </si>
  <si>
    <t>13.99B</t>
  </si>
  <si>
    <t>16.80B</t>
  </si>
  <si>
    <t>16.48B</t>
  </si>
  <si>
    <t>15.83B</t>
  </si>
  <si>
    <t>14.89B</t>
  </si>
  <si>
    <t>16.22B</t>
  </si>
  <si>
    <t>16.09B</t>
  </si>
  <si>
    <t>18.74B</t>
  </si>
  <si>
    <t>21.43B</t>
  </si>
  <si>
    <t>20.81B</t>
  </si>
  <si>
    <t>19.20B</t>
  </si>
  <si>
    <t>18.07B</t>
  </si>
  <si>
    <t>14.58B</t>
  </si>
  <si>
    <t>17.71B</t>
  </si>
  <si>
    <t>18.65B</t>
  </si>
  <si>
    <t>16.74B</t>
  </si>
  <si>
    <t>1.08B</t>
  </si>
  <si>
    <t>16.54B</t>
  </si>
  <si>
    <t>18.58B</t>
  </si>
  <si>
    <t>21.44B</t>
  </si>
  <si>
    <t>19.99B</t>
  </si>
  <si>
    <t>22.36B</t>
  </si>
  <si>
    <t>21.73B</t>
  </si>
  <si>
    <t>17.95B</t>
  </si>
  <si>
    <t>14.84B</t>
  </si>
  <si>
    <t>15.17B</t>
  </si>
  <si>
    <t>15.12B</t>
  </si>
  <si>
    <t>14.47B</t>
  </si>
  <si>
    <t>15.22B</t>
  </si>
  <si>
    <t>12.96B</t>
  </si>
  <si>
    <t>15.99B</t>
  </si>
  <si>
    <t>17.58B</t>
  </si>
  <si>
    <t>13.30B</t>
  </si>
  <si>
    <t>22.22B</t>
  </si>
  <si>
    <t>16.62B</t>
  </si>
  <si>
    <t>17.09B</t>
  </si>
  <si>
    <t>12.47B</t>
  </si>
  <si>
    <t>16.73B</t>
  </si>
  <si>
    <t>18.29B</t>
  </si>
  <si>
    <t>21.81B</t>
  </si>
  <si>
    <t>14.59B</t>
  </si>
  <si>
    <t>16.84B</t>
  </si>
  <si>
    <t>17.75B</t>
  </si>
  <si>
    <t>19.91B</t>
  </si>
  <si>
    <t>17.23B</t>
  </si>
  <si>
    <t>27.52B</t>
  </si>
  <si>
    <t>19.69B</t>
  </si>
  <si>
    <t>17.84B</t>
  </si>
  <si>
    <t>14.28B</t>
  </si>
  <si>
    <t>18.02B</t>
  </si>
  <si>
    <t>15.35B</t>
  </si>
  <si>
    <t>15.66B</t>
  </si>
  <si>
    <t>12.39B</t>
  </si>
  <si>
    <t>13.54B</t>
  </si>
  <si>
    <t>14.95B</t>
  </si>
  <si>
    <t>14.31B</t>
  </si>
  <si>
    <t>13.53B</t>
  </si>
  <si>
    <t>19.56B</t>
  </si>
  <si>
    <t>16.90B</t>
  </si>
  <si>
    <t>15.24B</t>
  </si>
  <si>
    <t>17.48B</t>
  </si>
  <si>
    <t>23.27B</t>
  </si>
  <si>
    <t>16.27B</t>
  </si>
  <si>
    <t>16.79B</t>
  </si>
  <si>
    <t>11.92B</t>
  </si>
  <si>
    <t>16.14B</t>
  </si>
  <si>
    <t>21.94B</t>
  </si>
  <si>
    <t>20.95B</t>
  </si>
  <si>
    <t>23.75B</t>
  </si>
  <si>
    <t>37.39B</t>
  </si>
  <si>
    <t>13.19B</t>
  </si>
  <si>
    <t>14.57B</t>
  </si>
  <si>
    <t>14.23B</t>
  </si>
  <si>
    <t>18.28B</t>
  </si>
  <si>
    <t>15.85B</t>
  </si>
  <si>
    <t>16.06B</t>
  </si>
  <si>
    <t>14.65B</t>
  </si>
  <si>
    <t>14.52B</t>
  </si>
  <si>
    <t>15.76B</t>
  </si>
  <si>
    <t>13.70B</t>
  </si>
  <si>
    <t>15.65B</t>
  </si>
  <si>
    <t>13.67B</t>
  </si>
  <si>
    <t>15.44B</t>
  </si>
  <si>
    <t xml:space="preserve">FTSE 100 </t>
  </si>
  <si>
    <t>RNWH</t>
  </si>
  <si>
    <t>FTSE100</t>
  </si>
  <si>
    <t>Base RNWH</t>
  </si>
  <si>
    <t>Base FTSE100</t>
  </si>
  <si>
    <t xml:space="preserve">RNWH </t>
  </si>
  <si>
    <t>18/02/2026 (Jan)</t>
  </si>
  <si>
    <t>21/01/2026 (Dec)</t>
  </si>
  <si>
    <t>17/12/2025 (Nov)</t>
  </si>
  <si>
    <t>19/11/2025 (Oct)</t>
  </si>
  <si>
    <t>22/10/2025 (Sep)</t>
  </si>
  <si>
    <t>17/09/2025 (Aug)</t>
  </si>
  <si>
    <t>20/08/2025 (Jul)</t>
  </si>
  <si>
    <t>16/07/2025 (Jun)</t>
  </si>
  <si>
    <t>18/06/2025 (May)</t>
  </si>
  <si>
    <t>21/05/2025 (Apr)</t>
  </si>
  <si>
    <t>16/04/2025 (Mar)</t>
  </si>
  <si>
    <t>26/03/2025 (Feb)</t>
  </si>
  <si>
    <t>19/02/2025 (Jan)</t>
  </si>
  <si>
    <t>15/01/2025 (Dec)</t>
  </si>
  <si>
    <t>18/12/2024 (Nov)</t>
  </si>
  <si>
    <t>20/11/2024 (Oct)</t>
  </si>
  <si>
    <t>16/10/2024 (Sep)</t>
  </si>
  <si>
    <t>18/09/2024 (Aug)</t>
  </si>
  <si>
    <t>14/08/2024 (Jul)</t>
  </si>
  <si>
    <t>17/07/2024 (Jun)</t>
  </si>
  <si>
    <t>19/06/2024 (May)</t>
  </si>
  <si>
    <t>22/05/2024 (Apr)</t>
  </si>
  <si>
    <t>17/04/2024 (Mar)</t>
  </si>
  <si>
    <t>20/03/2024 (Feb)</t>
  </si>
  <si>
    <t>14/02/2024 (Jan)</t>
  </si>
  <si>
    <t>17/01/2024 (Dec)</t>
  </si>
  <si>
    <t>20/12/2023 (Nov)</t>
  </si>
  <si>
    <t>15/11/2023 (Oct)</t>
  </si>
  <si>
    <t>18/10/2023 (Sep)</t>
  </si>
  <si>
    <t>20/09/2023 (Aug)</t>
  </si>
  <si>
    <t>16/08/2023 (Jul)</t>
  </si>
  <si>
    <t>19/07/2023 (Jun)</t>
  </si>
  <si>
    <t>21/06/2023 (May)</t>
  </si>
  <si>
    <t>24/05/2023 (Apr)</t>
  </si>
  <si>
    <t>19/04/2023 (Mar)</t>
  </si>
  <si>
    <t>22/03/2023 (Feb)</t>
  </si>
  <si>
    <t>15/02/2023 (Jan)</t>
  </si>
  <si>
    <t>18/01/2023 (Dec)</t>
  </si>
  <si>
    <t>14/12/2022 (Nov)</t>
  </si>
  <si>
    <t>16/11/2022 (Oct)</t>
  </si>
  <si>
    <t>19/10/2022 (Sep)</t>
  </si>
  <si>
    <t>14/09/2022 (Aug)</t>
  </si>
  <si>
    <t>17/08/2022 (Jul)</t>
  </si>
  <si>
    <t>20/07/2022 (Jun)</t>
  </si>
  <si>
    <t>22/06/2022 (May)</t>
  </si>
  <si>
    <t>18/05/2022 (Apr)</t>
  </si>
  <si>
    <t>13/04/2022 (Mar)</t>
  </si>
  <si>
    <t>23/03/2022 (Feb)</t>
  </si>
  <si>
    <t>16/02/2022 (Jan)</t>
  </si>
  <si>
    <t>19/01/2022 (Dec)</t>
  </si>
  <si>
    <t>15/12/2021 (Nov)</t>
  </si>
  <si>
    <t>17/11/2021 (Oct)</t>
  </si>
  <si>
    <t>20/10/2021 (Sep)</t>
  </si>
  <si>
    <t>15/09/2021 (Aug)</t>
  </si>
  <si>
    <t>18/08/2021 (Jul)</t>
  </si>
  <si>
    <t>14/07/2021 (Jun)</t>
  </si>
  <si>
    <t>16/06/2021 (May)</t>
  </si>
  <si>
    <t>19/05/2021 (Apr)</t>
  </si>
  <si>
    <t>21/04/2021 (Mar)</t>
  </si>
  <si>
    <t>24/03/2021 (Feb)</t>
  </si>
  <si>
    <t>17/02/2021 (Jan)</t>
  </si>
  <si>
    <t>20/01/2021 (Dec)</t>
  </si>
  <si>
    <t>16/12/2020 (Nov)</t>
  </si>
  <si>
    <t>18/11/2020 (Oct)</t>
  </si>
  <si>
    <t>21/10/2020 (Sep)</t>
  </si>
  <si>
    <t>16/09/2020 (Aug)</t>
  </si>
  <si>
    <t>19/08/2020 (Jul)</t>
  </si>
  <si>
    <t>15/07/2020 (Jun)</t>
  </si>
  <si>
    <t>17/06/2020 (May)</t>
  </si>
  <si>
    <t>20/05/2020 (Apr)</t>
  </si>
  <si>
    <t>22/04/2020 (Mar)</t>
  </si>
  <si>
    <t>25/03/2020 (Feb)</t>
  </si>
  <si>
    <t>19/02/2020 (Jan)</t>
  </si>
  <si>
    <t>15/01/2020 (Dec)</t>
  </si>
  <si>
    <t>18/12/2019 (Nov)</t>
  </si>
  <si>
    <t>13/11/2019 (Oct)</t>
  </si>
  <si>
    <t>16/10/2019 (Sep)</t>
  </si>
  <si>
    <t>18/09/2019 (Aug)</t>
  </si>
  <si>
    <t>14/08/2019 (Jul)</t>
  </si>
  <si>
    <t>17/07/2019 (Jun)</t>
  </si>
  <si>
    <t>19/06/2019 (May)</t>
  </si>
  <si>
    <t>22/05/2019 (Apr)</t>
  </si>
  <si>
    <t>17/04/2019 (Mar)</t>
  </si>
  <si>
    <t>20/03/2019 (Feb)</t>
  </si>
  <si>
    <t>13/02/2019 (Jan)</t>
  </si>
  <si>
    <t>Release date</t>
  </si>
  <si>
    <t>Actual</t>
  </si>
  <si>
    <t>forecast</t>
  </si>
  <si>
    <t>Inflation (CPI) MoM</t>
  </si>
  <si>
    <t>WACC</t>
  </si>
  <si>
    <t>Risk Premiums</t>
  </si>
  <si>
    <t>Revenue Bull Case</t>
  </si>
  <si>
    <t>FCF Bull Case</t>
  </si>
  <si>
    <t>Revenue Bear Case</t>
  </si>
  <si>
    <t>FCF Bear Case</t>
  </si>
  <si>
    <t>*if company continues to grow at a current rate</t>
  </si>
  <si>
    <t>*if company accelerates in revenue growth</t>
  </si>
  <si>
    <t>Debt/EBIT</t>
  </si>
  <si>
    <t>Q126</t>
  </si>
  <si>
    <t>Risk Premiums: (1) liquidity risk (equal in all cases);  (2) equity risk premium (increases slightly in case of slower revenue growth due to insignificant leverage, debt/ebit)</t>
  </si>
  <si>
    <t>Bull Case*</t>
  </si>
  <si>
    <t>Base Case*</t>
  </si>
  <si>
    <t>Bear Case*</t>
  </si>
  <si>
    <t>*if the company flattens (grows at inflation rate)</t>
  </si>
  <si>
    <t xml:space="preserve">Inflation (CPI) m/m </t>
  </si>
  <si>
    <t>NOT forcasting, but determining how market values the company considering different scenarios of revenue growth</t>
  </si>
  <si>
    <t>Interest Rate, %</t>
  </si>
  <si>
    <t>Rate Change m/m, %</t>
  </si>
  <si>
    <t>Rate Change Abs.</t>
  </si>
  <si>
    <t>Stock returns and Inflation</t>
  </si>
  <si>
    <t>Stock returns and Interest Rate</t>
  </si>
  <si>
    <t>Stock returns and FTSE 100</t>
  </si>
  <si>
    <t>Bank Rate history and data | Bank of England Database</t>
  </si>
  <si>
    <t>Date Changed</t>
  </si>
  <si>
    <t>Rate</t>
  </si>
  <si>
    <t>18 Dec 25</t>
  </si>
  <si>
    <t>07 Aug 25</t>
  </si>
  <si>
    <t>08 May 25</t>
  </si>
  <si>
    <t>06 Feb 25</t>
  </si>
  <si>
    <t>07 Nov 24</t>
  </si>
  <si>
    <t>01 Aug 24</t>
  </si>
  <si>
    <t>03 Aug 23</t>
  </si>
  <si>
    <t>22 Jun 23</t>
  </si>
  <si>
    <t>11 May 23</t>
  </si>
  <si>
    <t>23 Mar 23</t>
  </si>
  <si>
    <t>02 Feb 23</t>
  </si>
  <si>
    <t>15 Dec 22</t>
  </si>
  <si>
    <t>03 Nov 22</t>
  </si>
  <si>
    <t>22 Sep 22</t>
  </si>
  <si>
    <t>04 Aug 22</t>
  </si>
  <si>
    <t>16 Jun 22</t>
  </si>
  <si>
    <t>05 May 22</t>
  </si>
  <si>
    <t>17 Mar 22</t>
  </si>
  <si>
    <t>03 Feb 22</t>
  </si>
  <si>
    <t>16 Dec 21</t>
  </si>
  <si>
    <t>19 Mar 20</t>
  </si>
  <si>
    <t>11 Mar 20</t>
  </si>
  <si>
    <t>02 Aug 18</t>
  </si>
  <si>
    <t>02 Nov 17</t>
  </si>
  <si>
    <t>04 Aug 16</t>
  </si>
  <si>
    <t>05 Mar 09</t>
  </si>
  <si>
    <t>05 Feb 09</t>
  </si>
  <si>
    <t>08 Jan 09</t>
  </si>
  <si>
    <t>04 Dec 08</t>
  </si>
  <si>
    <t>06 Nov 08</t>
  </si>
  <si>
    <t>08 Oct 08</t>
  </si>
  <si>
    <t>10 Apr 08</t>
  </si>
  <si>
    <t>07 Feb 08</t>
  </si>
  <si>
    <t>06 Dec 07</t>
  </si>
  <si>
    <t>05 Jul 07</t>
  </si>
  <si>
    <t>10 May 07</t>
  </si>
  <si>
    <t>11 Jan 07</t>
  </si>
  <si>
    <t>09 Nov 06</t>
  </si>
  <si>
    <t>03 Aug 06</t>
  </si>
  <si>
    <t>04 Aug 05</t>
  </si>
  <si>
    <t>05 Aug 04</t>
  </si>
  <si>
    <t>10 Jun 04</t>
  </si>
  <si>
    <t>06 May 04</t>
  </si>
  <si>
    <t>05 Feb 04</t>
  </si>
  <si>
    <t>06 Nov 03</t>
  </si>
  <si>
    <t>10 Jul 03</t>
  </si>
  <si>
    <t>06 Feb 03</t>
  </si>
  <si>
    <t>08 Nov 01</t>
  </si>
  <si>
    <t>04 Oct 01</t>
  </si>
  <si>
    <t>18 Sep 01</t>
  </si>
  <si>
    <t>02 Aug 01</t>
  </si>
  <si>
    <t>10 May 01</t>
  </si>
  <si>
    <t>05 Apr 01</t>
  </si>
  <si>
    <t>08 Feb 01</t>
  </si>
  <si>
    <t>10 Feb 00</t>
  </si>
  <si>
    <t>13 Jan 00</t>
  </si>
  <si>
    <t>04 Nov 99</t>
  </si>
  <si>
    <t>08 Sep 99</t>
  </si>
  <si>
    <t>10 Jun 99</t>
  </si>
  <si>
    <t>08 Apr 99</t>
  </si>
  <si>
    <t>04 Feb 99</t>
  </si>
  <si>
    <t>07 Jan 99</t>
  </si>
  <si>
    <t>10 Dec 98</t>
  </si>
  <si>
    <t>05 Nov 98</t>
  </si>
  <si>
    <t>08 Oct 98</t>
  </si>
  <si>
    <t>04 Jun 98</t>
  </si>
  <si>
    <t>06 Nov 97</t>
  </si>
  <si>
    <t>07 Aug 97</t>
  </si>
  <si>
    <t>10 Jul 97</t>
  </si>
  <si>
    <t>06 Jun 97</t>
  </si>
  <si>
    <t>06 May 97</t>
  </si>
  <si>
    <t>30 Oct 96</t>
  </si>
  <si>
    <t>06 Jun 96</t>
  </si>
  <si>
    <t>08 Mar 96</t>
  </si>
  <si>
    <t>18 Jan 96</t>
  </si>
  <si>
    <t>13 Dec 95</t>
  </si>
  <si>
    <t>02 Feb 95</t>
  </si>
  <si>
    <t>07 Dec 94</t>
  </si>
  <si>
    <t>12 Sep 94</t>
  </si>
  <si>
    <t>08 Feb 94</t>
  </si>
  <si>
    <t>23 Nov 93</t>
  </si>
  <si>
    <t>26 Jan 93</t>
  </si>
  <si>
    <t>13 Nov 92</t>
  </si>
  <si>
    <t>16 Oct 92</t>
  </si>
  <si>
    <t>22 Sep 92</t>
  </si>
  <si>
    <t>05 May 92</t>
  </si>
  <si>
    <t>04 Sep 91</t>
  </si>
  <si>
    <t>12 Jul 91</t>
  </si>
  <si>
    <t>24 May 91</t>
  </si>
  <si>
    <t>12 Apr 91</t>
  </si>
  <si>
    <t>22 Mar 91</t>
  </si>
  <si>
    <t>27 Feb 91</t>
  </si>
  <si>
    <t>13 Feb 91</t>
  </si>
  <si>
    <t>08 Oct 90</t>
  </si>
  <si>
    <t>06 Oct 89</t>
  </si>
  <si>
    <t>08 Sep 89</t>
  </si>
  <si>
    <t>04 Sep 89</t>
  </si>
  <si>
    <t>31 Aug 89</t>
  </si>
  <si>
    <t>25 May 89</t>
  </si>
  <si>
    <t>25 Nov 88</t>
  </si>
  <si>
    <t>25 Aug 88</t>
  </si>
  <si>
    <t>08 Aug 88</t>
  </si>
  <si>
    <t>21 Jul 88</t>
  </si>
  <si>
    <t>07 Jul 88</t>
  </si>
  <si>
    <t>24 Jun 88</t>
  </si>
  <si>
    <t>10 Jun 88</t>
  </si>
  <si>
    <t>03 Jun 88</t>
  </si>
  <si>
    <t>17 May 88</t>
  </si>
  <si>
    <t>08 Apr 88</t>
  </si>
  <si>
    <t>17 Mar 88</t>
  </si>
  <si>
    <t>01 Feb 88</t>
  </si>
  <si>
    <t>03 Dec 87</t>
  </si>
  <si>
    <t>04 Nov 87</t>
  </si>
  <si>
    <t>23 Oct 87</t>
  </si>
  <si>
    <t>06 Aug 87</t>
  </si>
  <si>
    <t>08 May 87</t>
  </si>
  <si>
    <t>28 Apr 87</t>
  </si>
  <si>
    <t>18 Mar 87</t>
  </si>
  <si>
    <t>09 Mar 87</t>
  </si>
  <si>
    <t>15 Oct 86</t>
  </si>
  <si>
    <t>23 May 86</t>
  </si>
  <si>
    <t>18 Apr 86</t>
  </si>
  <si>
    <t>11 Apr 86</t>
  </si>
  <si>
    <t>19 Mar 86</t>
  </si>
  <si>
    <t>15 Jan 86</t>
  </si>
  <si>
    <t>26 Jul 85</t>
  </si>
  <si>
    <t>11 Jul 85</t>
  </si>
  <si>
    <t>19 Apr 85</t>
  </si>
  <si>
    <t>28 Mar 85</t>
  </si>
  <si>
    <t>20 Mar 85</t>
  </si>
  <si>
    <t>28 Jan 85</t>
  </si>
  <si>
    <t>14 Jan 85</t>
  </si>
  <si>
    <t>23 Nov 84</t>
  </si>
  <si>
    <t>19 Nov 84</t>
  </si>
  <si>
    <t>05 Nov 84</t>
  </si>
  <si>
    <t>17 Aug 84</t>
  </si>
  <si>
    <t>16 Aug 84</t>
  </si>
  <si>
    <t>09 Aug 84</t>
  </si>
  <si>
    <t>08 Aug 84</t>
  </si>
  <si>
    <t>11 Jul 84</t>
  </si>
  <si>
    <t>06 Jul 84</t>
  </si>
  <si>
    <t>29 Jun 84</t>
  </si>
  <si>
    <t>10 May 84</t>
  </si>
  <si>
    <t>14 Mar 84</t>
  </si>
  <si>
    <t>07 Mar 84</t>
  </si>
  <si>
    <t>03 Oct 83</t>
  </si>
  <si>
    <t>10 Aug 83</t>
  </si>
  <si>
    <t>09 Aug 83</t>
  </si>
  <si>
    <t>14 Jun 83</t>
  </si>
  <si>
    <t>13 Jun 83</t>
  </si>
  <si>
    <t>14 Apr 83</t>
  </si>
  <si>
    <t>13 Apr 83</t>
  </si>
  <si>
    <t>15 Mar 83</t>
  </si>
  <si>
    <t>12 Jan 83</t>
  </si>
  <si>
    <t>26 Nov 82</t>
  </si>
  <si>
    <t>02 Nov 82</t>
  </si>
  <si>
    <t>01 Nov 82</t>
  </si>
  <si>
    <t>12 Oct 82</t>
  </si>
  <si>
    <t>30 Sep 82</t>
  </si>
  <si>
    <t>29 Sep 82</t>
  </si>
  <si>
    <t>28 Sep 82</t>
  </si>
  <si>
    <t>27 Sep 82</t>
  </si>
  <si>
    <t>27 Aug 82</t>
  </si>
  <si>
    <t>26 Aug 82</t>
  </si>
  <si>
    <t>25 Aug 82</t>
  </si>
  <si>
    <t>24 Aug 82</t>
  </si>
  <si>
    <t>17 Aug 82</t>
  </si>
  <si>
    <t>16 Aug 82</t>
  </si>
  <si>
    <t>04 Aug 82</t>
  </si>
  <si>
    <t>02 Aug 82</t>
  </si>
  <si>
    <t>30 Jul 82</t>
  </si>
  <si>
    <t>29 Jul 82</t>
  </si>
  <si>
    <t>28 Jul 82</t>
  </si>
  <si>
    <t>26 Jul 82</t>
  </si>
  <si>
    <t>21 Jul 82</t>
  </si>
  <si>
    <t>13 Jul 82</t>
  </si>
  <si>
    <t>12 Jul 82</t>
  </si>
  <si>
    <t>09 Jul 82</t>
  </si>
  <si>
    <t>08 Jun 82</t>
  </si>
  <si>
    <t>20 Apr 82</t>
  </si>
  <si>
    <t>19 Apr 82</t>
  </si>
  <si>
    <t>16 Apr 82</t>
  </si>
  <si>
    <t>10 Mar 82</t>
  </si>
  <si>
    <t>25 Feb 82</t>
  </si>
  <si>
    <t>22 Feb 82</t>
  </si>
  <si>
    <t>22 Jan 82</t>
  </si>
  <si>
    <t>21 Jan 82</t>
  </si>
  <si>
    <t>20 Jan 82</t>
  </si>
  <si>
    <t>19 Jan 82</t>
  </si>
  <si>
    <t>18 Jan 82</t>
  </si>
  <si>
    <t>04 Dec 81</t>
  </si>
  <si>
    <t>25 Nov 81</t>
  </si>
  <si>
    <t>09 Nov 81</t>
  </si>
  <si>
    <t>06 Nov 81</t>
  </si>
  <si>
    <t>28 Oct 81</t>
  </si>
  <si>
    <t>12 Oct 81</t>
  </si>
  <si>
    <t>15 Sep 81</t>
  </si>
  <si>
    <t>25 Aug 81</t>
  </si>
  <si>
    <t>11 Mar 81</t>
  </si>
  <si>
    <t>25 Nov 80</t>
  </si>
  <si>
    <t>03 Jul 80</t>
  </si>
  <si>
    <t>15 Nov 79</t>
  </si>
  <si>
    <t>13 Jun 79</t>
  </si>
  <si>
    <t>05 Apr 79</t>
  </si>
  <si>
    <t>01 Mar 79</t>
  </si>
  <si>
    <t>08 Feb 79</t>
  </si>
  <si>
    <t>09 Nov 78</t>
  </si>
  <si>
    <t>08 Jun 78</t>
  </si>
  <si>
    <t>15 May 78</t>
  </si>
  <si>
    <t>08 May 78</t>
  </si>
  <si>
    <t>12 Apr 78</t>
  </si>
  <si>
    <t>09 Jan 78</t>
  </si>
  <si>
    <t>28 Nov 77</t>
  </si>
  <si>
    <t>17 Oct 77</t>
  </si>
  <si>
    <t>10 Oct 77</t>
  </si>
  <si>
    <t>19 Sep 77</t>
  </si>
  <si>
    <t>12 Sep 77</t>
  </si>
  <si>
    <t>15 Aug 77</t>
  </si>
  <si>
    <t>08 Aug 77</t>
  </si>
  <si>
    <t>16 May 77</t>
  </si>
  <si>
    <t>02 May 77</t>
  </si>
  <si>
    <t>25 Apr 77</t>
  </si>
  <si>
    <t>18 Apr 77</t>
  </si>
  <si>
    <t>12 Apr 77</t>
  </si>
  <si>
    <t>31 Mar 77</t>
  </si>
  <si>
    <t>21 Mar 77</t>
  </si>
  <si>
    <t>10 Mar 77</t>
  </si>
  <si>
    <t>03 Feb 77</t>
  </si>
  <si>
    <t>31 Jan 77</t>
  </si>
  <si>
    <t>24 Jan 77</t>
  </si>
  <si>
    <t>10 Jan 77</t>
  </si>
  <si>
    <t>29 Dec 76</t>
  </si>
  <si>
    <t>20 Dec 76</t>
  </si>
  <si>
    <t>22 Nov 76</t>
  </si>
  <si>
    <t>07 Oct 76</t>
  </si>
  <si>
    <t>13 Sep 76</t>
  </si>
  <si>
    <t>24 May 76</t>
  </si>
  <si>
    <t>26 Apr 76</t>
  </si>
  <si>
    <t>08 Mar 76</t>
  </si>
  <si>
    <t>01 Mar 76</t>
  </si>
  <si>
    <t>09 Feb 76</t>
  </si>
  <si>
    <t>02 Feb 76</t>
  </si>
  <si>
    <t>26 Jan 76</t>
  </si>
  <si>
    <t>19 Jan 76</t>
  </si>
  <si>
    <t>05 Jan 76</t>
  </si>
  <si>
    <t>29 Dec 75</t>
  </si>
  <si>
    <t>01 Dec 75</t>
  </si>
  <si>
    <t>17 Nov 75</t>
  </si>
  <si>
    <t>06 Oct 75</t>
  </si>
  <si>
    <t>28 Jul 75</t>
  </si>
  <si>
    <t>05 May 75</t>
  </si>
  <si>
    <t>21 Apr 75</t>
  </si>
  <si>
    <t>24 Mar 75</t>
  </si>
  <si>
    <t>10 Mar 75</t>
  </si>
  <si>
    <t>17 Feb 75</t>
  </si>
  <si>
    <t>10 Feb 75</t>
  </si>
  <si>
    <t>27 Jan 75</t>
  </si>
  <si>
    <t>20 Jan 75</t>
  </si>
  <si>
    <t>RNWH monthly return</t>
  </si>
  <si>
    <t>FTSE return (market factor)</t>
  </si>
  <si>
    <t>Inflation (macro factor)</t>
  </si>
  <si>
    <t>Interest rate change (monetary factor)</t>
  </si>
  <si>
    <t>RNWH Change</t>
  </si>
  <si>
    <t>FTSE100 Change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</si>
  <si>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</si>
  <si>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</si>
  <si>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</si>
  <si>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</si>
  <si>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</si>
  <si>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</si>
  <si>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</si>
  <si>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</si>
  <si>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</si>
  <si>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</si>
  <si>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</si>
  <si>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</si>
  <si>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</si>
  <si>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</si>
  <si>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</si>
  <si>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</si>
  <si>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</si>
  <si>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</si>
  <si>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</si>
  <si>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</si>
  <si>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</si>
  <si>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</si>
  <si>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</si>
  <si>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</si>
  <si>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</si>
  <si>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</si>
  <si>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0.0216802168021679</t>
  </si>
  <si>
    <t>Residuals</t>
  </si>
  <si>
    <t>Maturity: assumes that the company constantly falls at a relatively small rate (-1%) after the forecasting period</t>
  </si>
  <si>
    <t xml:space="preserve">Dependent: </t>
  </si>
  <si>
    <t>Independent:</t>
  </si>
  <si>
    <t>regression</t>
  </si>
  <si>
    <t>n = 83</t>
  </si>
  <si>
    <r>
      <t>R² = 0.2030</t>
    </r>
    <r>
      <rPr>
        <sz val="10"/>
        <color theme="1"/>
        <rFont val="ArialMT"/>
        <family val="2"/>
      </rPr>
      <t xml:space="preserve">, </t>
    </r>
    <r>
      <rPr>
        <b/>
        <sz val="10"/>
        <color theme="1"/>
        <rFont val="ArialMT"/>
        <family val="2"/>
      </rPr>
      <t>Adj R² = 0.1728</t>
    </r>
  </si>
  <si>
    <r>
      <t>F = 6.708</t>
    </r>
    <r>
      <rPr>
        <sz val="10"/>
        <color theme="1"/>
        <rFont val="ArialMT"/>
        <family val="2"/>
      </rPr>
      <t xml:space="preserve">, </t>
    </r>
    <r>
      <rPr>
        <b/>
        <sz val="10"/>
        <color theme="1"/>
        <rFont val="ArialMT"/>
        <family val="2"/>
      </rPr>
      <t>Significance F = 0.0004318</t>
    </r>
  </si>
  <si>
    <r>
      <t>β(FTSE) = 0.9943</t>
    </r>
    <r>
      <rPr>
        <sz val="10"/>
        <color theme="1"/>
        <rFont val="ArialMT"/>
        <family val="2"/>
      </rPr>
      <t xml:space="preserve">, </t>
    </r>
    <r>
      <rPr>
        <b/>
        <sz val="10"/>
        <color theme="1"/>
        <rFont val="ArialMT"/>
        <family val="2"/>
      </rPr>
      <t>t = 3.9745</t>
    </r>
    <r>
      <rPr>
        <sz val="10"/>
        <color theme="1"/>
        <rFont val="ArialMT"/>
        <family val="2"/>
      </rPr>
      <t xml:space="preserve">, </t>
    </r>
    <r>
      <rPr>
        <b/>
        <sz val="10"/>
        <color theme="1"/>
        <rFont val="ArialMT"/>
        <family val="2"/>
      </rPr>
      <t>p = 0.000155</t>
    </r>
  </si>
  <si>
    <t>β(Inflation) p = 0.1209</t>
  </si>
  <si>
    <t>β(Rate change) p = 0.2795</t>
  </si>
  <si>
    <r>
      <t xml:space="preserve">Correlations: </t>
    </r>
    <r>
      <rPr>
        <b/>
        <sz val="10"/>
        <color theme="1"/>
        <rFont val="ArialMT"/>
        <family val="2"/>
      </rPr>
      <t>r(infl) = 0.1526</t>
    </r>
    <r>
      <rPr>
        <sz val="10"/>
        <color theme="1"/>
        <rFont val="ArialMT"/>
        <family val="2"/>
      </rPr>
      <t xml:space="preserve">, </t>
    </r>
    <r>
      <rPr>
        <b/>
        <sz val="10"/>
        <color theme="1"/>
        <rFont val="ArialMT"/>
        <family val="2"/>
      </rPr>
      <t>r(rate) = -0.2324</t>
    </r>
  </si>
  <si>
    <t>Key Results</t>
  </si>
  <si>
    <t xml:space="preserve">Minimum </t>
  </si>
  <si>
    <t xml:space="preserve">Maximum </t>
  </si>
  <si>
    <t xml:space="preserve">Count </t>
  </si>
  <si>
    <t>RNWH Chart</t>
  </si>
  <si>
    <t>Mean &gt; Median (1.56% vs 0.59%) =&gt; Distribution is right-skewed (strong positive months pulling average)</t>
  </si>
  <si>
    <t>Typical monthly fluctuation ≈ ±9%</t>
  </si>
  <si>
    <t xml:space="preserve">Large extremes. High volatility </t>
  </si>
  <si>
    <t xml:space="preserve">RNWH Standard Deviation, Change, % </t>
  </si>
  <si>
    <t>RNWH Variance, Change, %</t>
  </si>
  <si>
    <t xml:space="preserve">FTSE 100 Standard Deviation, Change, % </t>
  </si>
  <si>
    <t>FTSE 100 Variance, Change, %</t>
  </si>
  <si>
    <t>Volatolity Ratio</t>
  </si>
  <si>
    <t>RNWH Standard Deviation, Price</t>
  </si>
  <si>
    <t>RNWH Variance, Price</t>
  </si>
  <si>
    <t>RNWH is 2.48 times more volatile than the FTSE 100 on a monthly basis.</t>
  </si>
  <si>
    <t xml:space="preserve">RNWH Mean Change </t>
  </si>
  <si>
    <t xml:space="preserve">RNWH Mode Change </t>
  </si>
  <si>
    <t>FTSE 100 Mean Change</t>
  </si>
  <si>
    <t>Median Price</t>
  </si>
  <si>
    <t xml:space="preserve">RNWH Median Change </t>
  </si>
  <si>
    <t>Suggests higher idiosyncratic risk</t>
  </si>
  <si>
    <t>Annualised Return (RNWH)</t>
  </si>
  <si>
    <t>Annualised Return (FTSE100)</t>
  </si>
  <si>
    <t>Predicted 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</si>
</sst>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"/>
    <numFmt numFmtId="179" formatCode="0.0"/>
  </numFmts>
  <fonts count="39">
    <font>
      <sz val="10"/>
      <color theme="1"/>
      <name val="ArialMT"/>
      <family val="2"/>
    </font>
    <font>
      <sz val="10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0"/>
      <color rgb="FF006100"/>
      <name val="ArialMT"/>
      <family val="2"/>
    </font>
    <font>
      <sz val="10"/>
      <color rgb="FF9C0006"/>
      <name val="ArialMT"/>
      <family val="2"/>
    </font>
    <font>
      <sz val="10"/>
      <color rgb="FF9C5700"/>
      <name val="ArialMT"/>
      <family val="2"/>
    </font>
    <font>
      <sz val="10"/>
      <color rgb="FF3F3F76"/>
      <name val="ArialMT"/>
      <family val="2"/>
    </font>
    <font>
      <b/>
      <sz val="10"/>
      <color rgb="FF3F3F3F"/>
      <name val="ArialMT"/>
      <family val="2"/>
    </font>
    <font>
      <b/>
      <sz val="10"/>
      <color rgb="FFFA7D00"/>
      <name val="ArialMT"/>
      <family val="2"/>
    </font>
    <font>
      <sz val="10"/>
      <color rgb="FFFA7D00"/>
      <name val="ArialMT"/>
      <family val="2"/>
    </font>
    <font>
      <b/>
      <sz val="10"/>
      <color theme="0"/>
      <name val="ArialMT"/>
      <family val="2"/>
    </font>
    <font>
      <sz val="10"/>
      <color rgb="FFFF0000"/>
      <name val="ArialMT"/>
      <family val="2"/>
    </font>
    <font>
      <i/>
      <sz val="10"/>
      <color rgb="FF7F7F7F"/>
      <name val="ArialMT"/>
      <family val="2"/>
    </font>
    <font>
      <b/>
      <sz val="10"/>
      <color theme="1"/>
      <name val="ArialMT"/>
      <family val="2"/>
    </font>
    <font>
      <sz val="10"/>
      <color theme="0"/>
      <name val="ArialMT"/>
      <family val="2"/>
    </font>
    <font>
      <b/>
      <sz val="10"/>
      <color theme="1"/>
      <name val="ArialMT"/>
    </font>
    <font>
      <sz val="10"/>
      <color theme="1"/>
      <name val="ArialMT"/>
    </font>
    <font>
      <i/>
      <sz val="10"/>
      <color theme="1"/>
      <name val="ArialMT"/>
    </font>
    <font>
      <u/>
      <sz val="10"/>
      <color theme="10"/>
      <name val="ArialMT"/>
      <family val="2"/>
    </font>
    <font>
      <sz val="8"/>
      <name val="ArialMT"/>
      <family val="2"/>
    </font>
    <font>
      <sz val="10"/>
      <color rgb="FF000000"/>
      <name val="ArialMT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i/>
      <u/>
      <sz val="10"/>
      <color theme="10"/>
      <name val="ArialMT"/>
    </font>
    <font>
      <b/>
      <u/>
      <sz val="10"/>
      <color theme="10"/>
      <name val="ArialMT"/>
    </font>
    <font>
      <sz val="10"/>
      <color rgb="FF181C21"/>
      <name val="Helvetica"/>
      <family val="2"/>
    </font>
    <font>
      <sz val="10"/>
      <color rgb="FF181C21"/>
      <name val="Arial"/>
      <family val="2"/>
    </font>
    <font>
      <sz val="10"/>
      <name val="Arial"/>
      <family val="2"/>
    </font>
    <font>
      <sz val="10"/>
      <name val="Helvetica"/>
      <family val="2"/>
    </font>
    <font>
      <sz val="10"/>
      <name val="ArialMT"/>
      <family val="2"/>
    </font>
    <font>
      <i/>
      <sz val="10"/>
      <color rgb="FF181C21"/>
      <name val="Helvetica"/>
      <family val="2"/>
    </font>
    <font>
      <sz val="10"/>
      <name val="Arial"/>
      <family val="2"/>
    </font>
    <font>
      <b/>
      <i/>
      <sz val="10"/>
      <color theme="1"/>
      <name val="ArialMT"/>
    </font>
    <font>
      <b/>
      <sz val="11"/>
      <name val="Calibri"/>
      <family val="2"/>
    </font>
    <font>
      <i/>
      <sz val="10"/>
      <color theme="1"/>
      <name val="ArialM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16">
    <xf numFmtId="0" fontId="0" fillId="0" borderId="0" xfId="0"/>
    <xf numFmtId="14" fontId="0" fillId="0" borderId="0" xfId="0" applyNumberFormat="1"/>
    <xf numFmtId="10" fontId="0" fillId="0" borderId="0" xfId="0" applyNumberFormat="1"/>
    <xf numFmtId="4" fontId="0" fillId="0" borderId="0" xfId="0" applyNumberFormat="1"/>
    <xf numFmtId="0" fontId="0" fillId="0" borderId="13" xfId="0" applyBorder="1"/>
    <xf numFmtId="0" fontId="18" fillId="0" borderId="0" xfId="0" applyFont="1"/>
    <xf numFmtId="0" fontId="19" fillId="0" borderId="10" xfId="0" applyFont="1" applyBorder="1"/>
    <xf numFmtId="2" fontId="0" fillId="0" borderId="11" xfId="0" applyNumberFormat="1" applyBorder="1"/>
    <xf numFmtId="0" fontId="19" fillId="0" borderId="15" xfId="0" applyFont="1" applyBorder="1"/>
    <xf numFmtId="0" fontId="0" fillId="0" borderId="16" xfId="0" applyBorder="1"/>
    <xf numFmtId="0" fontId="19" fillId="0" borderId="12" xfId="0" applyFont="1" applyBorder="1"/>
    <xf numFmtId="0" fontId="0" fillId="0" borderId="10" xfId="0" applyBorder="1"/>
    <xf numFmtId="0" fontId="0" fillId="0" borderId="15" xfId="0" applyBorder="1"/>
    <xf numFmtId="10" fontId="0" fillId="0" borderId="16" xfId="0" applyNumberFormat="1" applyBorder="1"/>
    <xf numFmtId="0" fontId="0" fillId="0" borderId="12" xfId="0" applyBorder="1"/>
    <xf numFmtId="10" fontId="0" fillId="0" borderId="11" xfId="0" applyNumberFormat="1" applyBorder="1"/>
    <xf numFmtId="10" fontId="0" fillId="0" borderId="13" xfId="0" applyNumberFormat="1" applyBorder="1"/>
    <xf numFmtId="2" fontId="0" fillId="0" borderId="0" xfId="0" applyNumberFormat="1"/>
    <xf numFmtId="2" fontId="0" fillId="0" borderId="13" xfId="0" applyNumberFormat="1" applyBorder="1"/>
    <xf numFmtId="0" fontId="20" fillId="0" borderId="0" xfId="0" applyFont="1"/>
    <xf numFmtId="3" fontId="0" fillId="0" borderId="0" xfId="0" applyNumberFormat="1"/>
    <xf numFmtId="4" fontId="19" fillId="0" borderId="0" xfId="0" applyNumberFormat="1" applyFont="1"/>
    <xf numFmtId="4" fontId="18" fillId="0" borderId="0" xfId="0" applyNumberFormat="1" applyFont="1"/>
    <xf numFmtId="2" fontId="18" fillId="0" borderId="0" xfId="0" applyNumberFormat="1" applyFont="1"/>
    <xf numFmtId="2" fontId="19" fillId="0" borderId="0" xfId="0" applyNumberFormat="1" applyFont="1"/>
    <xf numFmtId="3" fontId="18" fillId="0" borderId="0" xfId="0" applyNumberFormat="1" applyFont="1"/>
    <xf numFmtId="4" fontId="0" fillId="0" borderId="10" xfId="0" applyNumberFormat="1" applyBorder="1"/>
    <xf numFmtId="4" fontId="0" fillId="0" borderId="11" xfId="0" applyNumberFormat="1" applyBorder="1"/>
    <xf numFmtId="4" fontId="0" fillId="0" borderId="15" xfId="0" applyNumberFormat="1" applyBorder="1"/>
    <xf numFmtId="3" fontId="0" fillId="0" borderId="16" xfId="0" applyNumberFormat="1" applyBorder="1"/>
    <xf numFmtId="4" fontId="18" fillId="0" borderId="12" xfId="0" applyNumberFormat="1" applyFont="1" applyBorder="1"/>
    <xf numFmtId="3" fontId="18" fillId="0" borderId="13" xfId="0" applyNumberFormat="1" applyFont="1" applyBorder="1"/>
    <xf numFmtId="0" fontId="21" fillId="0" borderId="0" xfId="42"/>
    <xf numFmtId="0" fontId="0" fillId="0" borderId="0" xfId="0" applyAlignment="1">
      <alignment horizontal="left"/>
    </xf>
    <xf numFmtId="0" fontId="19" fillId="0" borderId="0" xfId="0" applyFont="1"/>
    <xf numFmtId="3" fontId="19" fillId="0" borderId="0" xfId="0" applyNumberFormat="1" applyFont="1"/>
    <xf numFmtId="0" fontId="20" fillId="0" borderId="0" xfId="0" applyFont="1" applyAlignment="1">
      <alignment horizontal="right"/>
    </xf>
    <xf numFmtId="4" fontId="20" fillId="0" borderId="0" xfId="0" applyNumberFormat="1" applyFont="1" applyAlignment="1">
      <alignment horizontal="left"/>
    </xf>
    <xf numFmtId="10" fontId="23" fillId="0" borderId="0" xfId="0" applyNumberFormat="1" applyFont="1"/>
    <xf numFmtId="3" fontId="24" fillId="0" borderId="0" xfId="0" applyNumberFormat="1" applyFont="1"/>
    <xf numFmtId="0" fontId="24" fillId="0" borderId="0" xfId="0" applyFont="1"/>
    <xf numFmtId="10" fontId="25" fillId="0" borderId="0" xfId="0" applyNumberFormat="1" applyFont="1"/>
    <xf numFmtId="10" fontId="24" fillId="0" borderId="0" xfId="0" applyNumberFormat="1" applyFont="1"/>
    <xf numFmtId="9" fontId="24" fillId="0" borderId="0" xfId="0" applyNumberFormat="1" applyFont="1"/>
    <xf numFmtId="0" fontId="26" fillId="0" borderId="0" xfId="0" applyFont="1"/>
    <xf numFmtId="0" fontId="16" fillId="0" borderId="0" xfId="0" applyFont="1"/>
    <xf numFmtId="2" fontId="25" fillId="0" borderId="0" xfId="0" applyNumberFormat="1" applyFont="1"/>
    <xf numFmtId="165" fontId="0" fillId="0" borderId="0" xfId="0" applyNumberFormat="1"/>
    <xf numFmtId="0" fontId="0" fillId="0" borderId="0" xfId="0" quotePrefix="1"/>
    <xf numFmtId="9" fontId="0" fillId="0" borderId="0" xfId="0" applyNumberFormat="1"/>
    <xf numFmtId="0" fontId="18" fillId="0" borderId="10" xfId="0" applyFont="1" applyBorder="1"/>
    <xf numFmtId="0" fontId="18" fillId="0" borderId="11" xfId="0" applyFont="1" applyBorder="1"/>
    <xf numFmtId="10" fontId="0" fillId="0" borderId="15" xfId="0" applyNumberFormat="1" applyBorder="1"/>
    <xf numFmtId="10" fontId="0" fillId="0" borderId="12" xfId="0" applyNumberFormat="1" applyBorder="1"/>
    <xf numFmtId="2" fontId="18" fillId="0" borderId="16" xfId="0" applyNumberFormat="1" applyFont="1" applyBorder="1"/>
    <xf numFmtId="4" fontId="19" fillId="0" borderId="16" xfId="0" applyNumberFormat="1" applyFont="1" applyBorder="1"/>
    <xf numFmtId="9" fontId="18" fillId="0" borderId="13" xfId="0" applyNumberFormat="1" applyFont="1" applyBorder="1"/>
    <xf numFmtId="164" fontId="0" fillId="0" borderId="16" xfId="0" applyNumberFormat="1" applyBorder="1"/>
    <xf numFmtId="0" fontId="18" fillId="0" borderId="10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18" fillId="0" borderId="15" xfId="0" applyFont="1" applyBorder="1" applyAlignment="1">
      <alignment horizontal="left"/>
    </xf>
    <xf numFmtId="0" fontId="19" fillId="0" borderId="15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9" fontId="19" fillId="0" borderId="0" xfId="0" applyNumberFormat="1" applyFont="1"/>
    <xf numFmtId="10" fontId="19" fillId="0" borderId="0" xfId="0" applyNumberFormat="1" applyFont="1"/>
    <xf numFmtId="0" fontId="27" fillId="0" borderId="0" xfId="42" applyFont="1"/>
    <xf numFmtId="165" fontId="18" fillId="0" borderId="0" xfId="0" applyNumberFormat="1" applyFont="1"/>
    <xf numFmtId="0" fontId="28" fillId="0" borderId="0" xfId="42" applyFont="1"/>
    <xf numFmtId="0" fontId="29" fillId="0" borderId="0" xfId="0" applyFont="1"/>
    <xf numFmtId="10" fontId="29" fillId="0" borderId="0" xfId="0" applyNumberFormat="1" applyFont="1"/>
    <xf numFmtId="0" fontId="30" fillId="0" borderId="0" xfId="0" applyFont="1"/>
    <xf numFmtId="0" fontId="31" fillId="0" borderId="0" xfId="0" applyFont="1"/>
    <xf numFmtId="10" fontId="32" fillId="0" borderId="0" xfId="0" applyNumberFormat="1" applyFont="1"/>
    <xf numFmtId="0" fontId="33" fillId="0" borderId="0" xfId="0" applyFont="1"/>
    <xf numFmtId="0" fontId="34" fillId="0" borderId="0" xfId="0" applyFont="1"/>
    <xf numFmtId="10" fontId="35" fillId="0" borderId="0" xfId="0" applyNumberFormat="1" applyFont="1"/>
    <xf numFmtId="164" fontId="18" fillId="0" borderId="11" xfId="0" applyNumberFormat="1" applyFont="1" applyBorder="1"/>
    <xf numFmtId="0" fontId="20" fillId="0" borderId="0" xfId="0" quotePrefix="1" applyFont="1"/>
    <xf numFmtId="0" fontId="36" fillId="0" borderId="0" xfId="0" applyFont="1"/>
    <xf numFmtId="0" fontId="37" fillId="0" borderId="0" xfId="0" applyFont="1"/>
    <xf numFmtId="0" fontId="0" fillId="0" borderId="19" xfId="0" applyBorder="1"/>
    <xf numFmtId="0" fontId="38" fillId="0" borderId="20" xfId="0" applyFont="1" applyBorder="1" applyAlignment="1">
      <alignment horizontal="center"/>
    </xf>
    <xf numFmtId="0" fontId="38" fillId="0" borderId="20" xfId="0" applyFont="1" applyBorder="1" applyAlignment="1">
      <alignment horizontal="centerContinuous"/>
    </xf>
    <xf numFmtId="0" fontId="36" fillId="0" borderId="20" xfId="0" applyFont="1" applyBorder="1" applyAlignment="1">
      <alignment horizontal="center"/>
    </xf>
    <xf numFmtId="0" fontId="18" fillId="0" borderId="19" xfId="0" applyFont="1" applyBorder="1"/>
    <xf numFmtId="0" fontId="27" fillId="0" borderId="0" xfId="42" applyFont="1" applyAlignment="1">
      <alignment horizontal="right"/>
    </xf>
    <xf numFmtId="0" fontId="20" fillId="33" borderId="17" xfId="0" applyFont="1" applyFill="1" applyBorder="1" applyAlignment="1">
      <alignment horizontal="center"/>
    </xf>
    <xf numFmtId="0" fontId="20" fillId="33" borderId="18" xfId="0" applyFont="1" applyFill="1" applyBorder="1" applyAlignment="1">
      <alignment horizontal="center"/>
    </xf>
    <xf numFmtId="0" fontId="20" fillId="33" borderId="14" xfId="0" applyFont="1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8" fillId="0" borderId="15" xfId="0" applyFont="1" applyBorder="1"/>
    <xf numFmtId="0" fontId="18" fillId="0" borderId="12" xfId="0" applyFont="1" applyBorder="1"/>
    <xf numFmtId="10" fontId="18" fillId="0" borderId="11" xfId="0" applyNumberFormat="1" applyFont="1" applyBorder="1"/>
    <xf numFmtId="10" fontId="19" fillId="0" borderId="11" xfId="0" applyNumberFormat="1" applyFont="1" applyBorder="1"/>
    <xf numFmtId="2" fontId="18" fillId="0" borderId="13" xfId="0" applyNumberFormat="1" applyFont="1" applyBorder="1"/>
    <xf numFmtId="10" fontId="0" fillId="0" borderId="0" xfId="0" applyNumberFormat="1" applyBorder="1"/>
    <xf numFmtId="0" fontId="0" fillId="0" borderId="0" xfId="0" applyFill="1" applyBorder="1"/>
    <xf numFmtId="0" fontId="0" fillId="0" borderId="12" xfId="0" applyFill="1" applyBorder="1"/>
    <xf numFmtId="10" fontId="18" fillId="0" borderId="16" xfId="0" applyNumberFormat="1" applyFont="1" applyBorder="1"/>
    <xf numFmtId="0" fontId="0" fillId="0" borderId="0" xfId="0" applyFill="1" applyBorder="1" applyAlignment="1"/>
    <xf numFmtId="0" fontId="0" fillId="0" borderId="19" xfId="0" applyFill="1" applyBorder="1" applyAlignment="1"/>
    <xf numFmtId="0" fontId="38" fillId="0" borderId="20" xfId="0" applyFont="1" applyFill="1" applyBorder="1" applyAlignment="1">
      <alignment horizontal="center"/>
    </xf>
    <xf numFmtId="0" fontId="38" fillId="0" borderId="20" xfId="0" applyFont="1" applyFill="1" applyBorder="1" applyAlignment="1">
      <alignment horizontal="centerContinuous"/>
    </xf>
    <xf numFmtId="0" fontId="36" fillId="0" borderId="20" xfId="0" applyFont="1" applyFill="1" applyBorder="1" applyAlignment="1">
      <alignment horizontal="center"/>
    </xf>
    <xf numFmtId="0" fontId="18" fillId="0" borderId="0" xfId="0" applyFont="1" applyFill="1" applyBorder="1" applyAlignment="1"/>
    <xf numFmtId="0" fontId="18" fillId="0" borderId="19" xfId="0" applyFont="1" applyFill="1" applyBorder="1" applyAlignment="1"/>
    <xf numFmtId="179" fontId="0" fillId="0" borderId="11" xfId="0" applyNumberFormat="1" applyBorder="1"/>
    <xf numFmtId="179" fontId="0" fillId="0" borderId="16" xfId="0" applyNumberFormat="1" applyBorder="1"/>
    <xf numFmtId="179" fontId="0" fillId="0" borderId="13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RNWH</a:t>
            </a:r>
            <a:r>
              <a:rPr lang="en-US" baseline="0"/>
              <a:t> vs FTSE 100 Return</a:t>
            </a:r>
            <a:endParaRPr lang="en-GB"/>
          </a:p>
        </c:rich>
      </c:tx>
      <c:layout>
        <c:manualLayout>
          <c:xMode val="edge"/>
          <c:yMode val="edge"/>
          <c:x val="0.3674389548029231"/>
          <c:y val="2.71391525832179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Charts!$E$2</c:f>
              <c:strCache>
                <c:ptCount val="1"/>
                <c:pt idx="0">
                  <c:v>Base RNWH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Charts!$B$3:$B$87</c:f>
              <c:numCache>
                <c:formatCode>m/d/yy</c:formatCode>
                <c:ptCount val="8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</c:numCache>
            </c:numRef>
          </c:cat>
          <c:val>
            <c:numRef>
              <c:f>Charts!$E$3:$E$87</c:f>
              <c:numCache>
                <c:formatCode>0.00</c:formatCode>
                <c:ptCount val="85"/>
                <c:pt idx="0">
                  <c:v>100</c:v>
                </c:pt>
                <c:pt idx="1">
                  <c:v>102.1680216802168</c:v>
                </c:pt>
                <c:pt idx="2">
                  <c:v>108.9430894308943</c:v>
                </c:pt>
                <c:pt idx="3">
                  <c:v>105.82655826558265</c:v>
                </c:pt>
                <c:pt idx="4">
                  <c:v>116.53116531165311</c:v>
                </c:pt>
                <c:pt idx="5">
                  <c:v>112.46612466124661</c:v>
                </c:pt>
                <c:pt idx="6">
                  <c:v>108.40108401084009</c:v>
                </c:pt>
                <c:pt idx="7">
                  <c:v>104.74254742547427</c:v>
                </c:pt>
                <c:pt idx="8">
                  <c:v>104.33604336043361</c:v>
                </c:pt>
                <c:pt idx="9">
                  <c:v>103.7940379403794</c:v>
                </c:pt>
                <c:pt idx="10">
                  <c:v>105.6910569105691</c:v>
                </c:pt>
                <c:pt idx="11">
                  <c:v>147.96747967479675</c:v>
                </c:pt>
                <c:pt idx="12">
                  <c:v>135.50135501355015</c:v>
                </c:pt>
                <c:pt idx="13">
                  <c:v>133.87533875338752</c:v>
                </c:pt>
                <c:pt idx="14">
                  <c:v>101.89701897018971</c:v>
                </c:pt>
                <c:pt idx="15">
                  <c:v>122.49322493224932</c:v>
                </c:pt>
                <c:pt idx="16">
                  <c:v>125.47425474254743</c:v>
                </c:pt>
                <c:pt idx="17">
                  <c:v>120.05420054200542</c:v>
                </c:pt>
                <c:pt idx="18">
                  <c:v>118.15718157181571</c:v>
                </c:pt>
                <c:pt idx="19">
                  <c:v>114.63414634146341</c:v>
                </c:pt>
                <c:pt idx="20">
                  <c:v>123.30623306233062</c:v>
                </c:pt>
                <c:pt idx="21">
                  <c:v>117.88617886178862</c:v>
                </c:pt>
                <c:pt idx="22">
                  <c:v>134.14634146341464</c:v>
                </c:pt>
                <c:pt idx="23">
                  <c:v>151.76151761517616</c:v>
                </c:pt>
                <c:pt idx="24">
                  <c:v>142.00542005420053</c:v>
                </c:pt>
                <c:pt idx="25">
                  <c:v>136.04336043360433</c:v>
                </c:pt>
                <c:pt idx="26">
                  <c:v>152.84552845528455</c:v>
                </c:pt>
                <c:pt idx="27">
                  <c:v>169.37669376693768</c:v>
                </c:pt>
                <c:pt idx="28">
                  <c:v>172.35772357723579</c:v>
                </c:pt>
                <c:pt idx="29">
                  <c:v>182.92682926829269</c:v>
                </c:pt>
                <c:pt idx="30">
                  <c:v>202.16802168021681</c:v>
                </c:pt>
                <c:pt idx="31">
                  <c:v>207.85907859078588</c:v>
                </c:pt>
                <c:pt idx="32">
                  <c:v>214.0921409214092</c:v>
                </c:pt>
                <c:pt idx="33">
                  <c:v>206.77506775067749</c:v>
                </c:pt>
                <c:pt idx="34">
                  <c:v>217.61517615176152</c:v>
                </c:pt>
                <c:pt idx="35">
                  <c:v>226.28726287262873</c:v>
                </c:pt>
                <c:pt idx="36">
                  <c:v>195.1219512195122</c:v>
                </c:pt>
                <c:pt idx="37">
                  <c:v>184.28184281842817</c:v>
                </c:pt>
                <c:pt idx="38">
                  <c:v>185.36585365853659</c:v>
                </c:pt>
                <c:pt idx="39">
                  <c:v>189.4308943089431</c:v>
                </c:pt>
                <c:pt idx="40">
                  <c:v>187.53387533875338</c:v>
                </c:pt>
                <c:pt idx="41">
                  <c:v>173.44173441734418</c:v>
                </c:pt>
                <c:pt idx="42">
                  <c:v>200.81300813008133</c:v>
                </c:pt>
                <c:pt idx="43">
                  <c:v>174.25474254742548</c:v>
                </c:pt>
                <c:pt idx="44">
                  <c:v>154.47154471544715</c:v>
                </c:pt>
                <c:pt idx="45">
                  <c:v>166.39566395663957</c:v>
                </c:pt>
                <c:pt idx="46">
                  <c:v>185.09485094850947</c:v>
                </c:pt>
                <c:pt idx="47">
                  <c:v>198.3739837398374</c:v>
                </c:pt>
                <c:pt idx="48">
                  <c:v>198.3739837398374</c:v>
                </c:pt>
                <c:pt idx="49">
                  <c:v>193.22493224932248</c:v>
                </c:pt>
                <c:pt idx="50">
                  <c:v>183.19783197831978</c:v>
                </c:pt>
                <c:pt idx="51">
                  <c:v>197.01897018970189</c:v>
                </c:pt>
                <c:pt idx="52">
                  <c:v>193.76693766937669</c:v>
                </c:pt>
                <c:pt idx="53">
                  <c:v>201.6260162601626</c:v>
                </c:pt>
                <c:pt idx="54">
                  <c:v>197.83197831978322</c:v>
                </c:pt>
                <c:pt idx="55">
                  <c:v>194.57994579945799</c:v>
                </c:pt>
                <c:pt idx="56">
                  <c:v>193.22493224932248</c:v>
                </c:pt>
                <c:pt idx="57">
                  <c:v>194.3089430894309</c:v>
                </c:pt>
                <c:pt idx="58">
                  <c:v>228.18428184281845</c:v>
                </c:pt>
                <c:pt idx="59">
                  <c:v>232.79132791327913</c:v>
                </c:pt>
                <c:pt idx="60">
                  <c:v>238.48238482384824</c:v>
                </c:pt>
                <c:pt idx="61">
                  <c:v>237.12737127371275</c:v>
                </c:pt>
                <c:pt idx="62">
                  <c:v>250.40650406504062</c:v>
                </c:pt>
                <c:pt idx="63">
                  <c:v>256.09756097560978</c:v>
                </c:pt>
                <c:pt idx="64">
                  <c:v>289.4308943089431</c:v>
                </c:pt>
                <c:pt idx="65">
                  <c:v>287.80487804878049</c:v>
                </c:pt>
                <c:pt idx="66">
                  <c:v>294.3089430894309</c:v>
                </c:pt>
                <c:pt idx="67">
                  <c:v>290.51490514905146</c:v>
                </c:pt>
                <c:pt idx="68">
                  <c:v>285.09485094850947</c:v>
                </c:pt>
                <c:pt idx="69">
                  <c:v>296.47696476964768</c:v>
                </c:pt>
                <c:pt idx="70">
                  <c:v>281.84281842818427</c:v>
                </c:pt>
                <c:pt idx="71">
                  <c:v>245.25745257452573</c:v>
                </c:pt>
                <c:pt idx="72">
                  <c:v>198.3739837398374</c:v>
                </c:pt>
                <c:pt idx="73">
                  <c:v>178.59078590785907</c:v>
                </c:pt>
                <c:pt idx="74">
                  <c:v>179.40379403794037</c:v>
                </c:pt>
                <c:pt idx="75">
                  <c:v>204.60704607046071</c:v>
                </c:pt>
                <c:pt idx="76">
                  <c:v>222.22222222222223</c:v>
                </c:pt>
                <c:pt idx="77">
                  <c:v>230.35230352303523</c:v>
                </c:pt>
                <c:pt idx="78">
                  <c:v>228.45528455284554</c:v>
                </c:pt>
                <c:pt idx="79">
                  <c:v>217.07317073170734</c:v>
                </c:pt>
                <c:pt idx="80">
                  <c:v>219.51219512195124</c:v>
                </c:pt>
                <c:pt idx="81">
                  <c:v>250.94850948509486</c:v>
                </c:pt>
                <c:pt idx="82">
                  <c:v>253.11653116531164</c:v>
                </c:pt>
                <c:pt idx="83">
                  <c:v>241.46341463414635</c:v>
                </c:pt>
                <c:pt idx="84">
                  <c:v>249.05149051490514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3-094E-9EBB-5AB1AC53CD04}"/>
            </c:ext>
          </c:extLst>
        </c:ser>
        <c:ser>
          <c:idx val="1"/>
          <c:order val="1"/>
          <c:tx>
            <c:strRef>
              <c:f>Charts!$F$2</c:f>
              <c:strCache>
                <c:ptCount val="1"/>
                <c:pt idx="0">
                  <c:v>Base FTSE100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Charts!$B$3:$B$87</c:f>
              <c:numCache>
                <c:formatCode>m/d/yy</c:formatCode>
                <c:ptCount val="8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</c:numCache>
            </c:numRef>
          </c:cat>
          <c:val>
            <c:numRef>
              <c:f>Charts!$F$3:$F$87</c:f>
              <c:numCache>
                <c:formatCode>0.00</c:formatCode>
                <c:ptCount val="85"/>
                <c:pt idx="0">
                  <c:v>100</c:v>
                </c:pt>
                <c:pt idx="1">
                  <c:v>101.51933245800957</c:v>
                </c:pt>
                <c:pt idx="2">
                  <c:v>104.45324551396571</c:v>
                </c:pt>
                <c:pt idx="3">
                  <c:v>106.44826621322025</c:v>
                </c:pt>
                <c:pt idx="4">
                  <c:v>102.7674580454451</c:v>
                </c:pt>
                <c:pt idx="5">
                  <c:v>106.55459652596913</c:v>
                </c:pt>
                <c:pt idx="6">
                  <c:v>108.86702971078441</c:v>
                </c:pt>
                <c:pt idx="7">
                  <c:v>103.41993298750869</c:v>
                </c:pt>
                <c:pt idx="8">
                  <c:v>106.30462701880509</c:v>
                </c:pt>
                <c:pt idx="9">
                  <c:v>104.01113526622039</c:v>
                </c:pt>
                <c:pt idx="10">
                  <c:v>105.41954554912216</c:v>
                </c:pt>
                <c:pt idx="11">
                  <c:v>108.23076978267576</c:v>
                </c:pt>
                <c:pt idx="12">
                  <c:v>104.55110958049032</c:v>
                </c:pt>
                <c:pt idx="13">
                  <c:v>94.428922993033268</c:v>
                </c:pt>
                <c:pt idx="14">
                  <c:v>81.390186329164777</c:v>
                </c:pt>
                <c:pt idx="15">
                  <c:v>84.679825222238961</c:v>
                </c:pt>
                <c:pt idx="16">
                  <c:v>87.196596282026448</c:v>
                </c:pt>
                <c:pt idx="17">
                  <c:v>88.533115219871277</c:v>
                </c:pt>
                <c:pt idx="18">
                  <c:v>84.630319206181795</c:v>
                </c:pt>
                <c:pt idx="19">
                  <c:v>85.574664399434624</c:v>
                </c:pt>
                <c:pt idx="20">
                  <c:v>84.176011824045574</c:v>
                </c:pt>
                <c:pt idx="21">
                  <c:v>80.031425558018896</c:v>
                </c:pt>
                <c:pt idx="22">
                  <c:v>89.917131233991256</c:v>
                </c:pt>
                <c:pt idx="23">
                  <c:v>92.705683147147667</c:v>
                </c:pt>
                <c:pt idx="24">
                  <c:v>91.944294969758275</c:v>
                </c:pt>
                <c:pt idx="25">
                  <c:v>93.034431792907</c:v>
                </c:pt>
                <c:pt idx="26">
                  <c:v>96.33770277735924</c:v>
                </c:pt>
                <c:pt idx="27">
                  <c:v>100.01377558707678</c:v>
                </c:pt>
                <c:pt idx="28">
                  <c:v>100.77143287629953</c:v>
                </c:pt>
                <c:pt idx="29">
                  <c:v>100.98466748459214</c:v>
                </c:pt>
                <c:pt idx="30">
                  <c:v>100.91048020835575</c:v>
                </c:pt>
                <c:pt idx="31">
                  <c:v>102.16463261513735</c:v>
                </c:pt>
                <c:pt idx="32">
                  <c:v>101.68707892980908</c:v>
                </c:pt>
                <c:pt idx="33">
                  <c:v>103.85601641590792</c:v>
                </c:pt>
                <c:pt idx="34">
                  <c:v>101.30007103037086</c:v>
                </c:pt>
                <c:pt idx="35">
                  <c:v>105.96497269994332</c:v>
                </c:pt>
                <c:pt idx="36">
                  <c:v>107.11049886279658</c:v>
                </c:pt>
                <c:pt idx="37">
                  <c:v>107.02267949518212</c:v>
                </c:pt>
                <c:pt idx="38">
                  <c:v>107.84677529291061</c:v>
                </c:pt>
                <c:pt idx="39">
                  <c:v>108.26104737510494</c:v>
                </c:pt>
                <c:pt idx="40">
                  <c:v>109.16664872970432</c:v>
                </c:pt>
                <c:pt idx="41">
                  <c:v>102.87608428937342</c:v>
                </c:pt>
                <c:pt idx="42">
                  <c:v>106.52302747225151</c:v>
                </c:pt>
                <c:pt idx="43">
                  <c:v>104.52441938052905</c:v>
                </c:pt>
                <c:pt idx="44">
                  <c:v>98.9232082768319</c:v>
                </c:pt>
                <c:pt idx="45">
                  <c:v>101.80345394146811</c:v>
                </c:pt>
                <c:pt idx="46">
                  <c:v>108.67001011644675</c:v>
                </c:pt>
                <c:pt idx="47">
                  <c:v>106.92926379531772</c:v>
                </c:pt>
                <c:pt idx="48">
                  <c:v>111.52055217144866</c:v>
                </c:pt>
                <c:pt idx="49">
                  <c:v>113.02123018862508</c:v>
                </c:pt>
                <c:pt idx="50">
                  <c:v>109.51218637221349</c:v>
                </c:pt>
                <c:pt idx="51">
                  <c:v>112.93929414465799</c:v>
                </c:pt>
                <c:pt idx="52">
                  <c:v>106.84890620403652</c:v>
                </c:pt>
                <c:pt idx="53">
                  <c:v>108.07421597537612</c:v>
                </c:pt>
                <c:pt idx="54">
                  <c:v>110.48322176542757</c:v>
                </c:pt>
                <c:pt idx="55">
                  <c:v>106.7483157192363</c:v>
                </c:pt>
                <c:pt idx="56">
                  <c:v>109.17267554905041</c:v>
                </c:pt>
                <c:pt idx="57">
                  <c:v>105.06353272060669</c:v>
                </c:pt>
                <c:pt idx="58">
                  <c:v>106.95810643075974</c:v>
                </c:pt>
                <c:pt idx="59">
                  <c:v>110.96866771418526</c:v>
                </c:pt>
                <c:pt idx="60">
                  <c:v>109.49539737546365</c:v>
                </c:pt>
                <c:pt idx="61">
                  <c:v>109.48750511203427</c:v>
                </c:pt>
                <c:pt idx="62">
                  <c:v>114.11667635262633</c:v>
                </c:pt>
                <c:pt idx="63">
                  <c:v>116.86476247874469</c:v>
                </c:pt>
                <c:pt idx="64">
                  <c:v>118.74814352439785</c:v>
                </c:pt>
                <c:pt idx="65">
                  <c:v>117.15161038047883</c:v>
                </c:pt>
                <c:pt idx="66">
                  <c:v>120.07691369451199</c:v>
                </c:pt>
                <c:pt idx="67">
                  <c:v>120.20103747390169</c:v>
                </c:pt>
                <c:pt idx="68">
                  <c:v>118.19668955423062</c:v>
                </c:pt>
                <c:pt idx="69">
                  <c:v>116.37644661601267</c:v>
                </c:pt>
                <c:pt idx="70">
                  <c:v>118.91919039726781</c:v>
                </c:pt>
                <c:pt idx="71">
                  <c:v>117.27932155233647</c:v>
                </c:pt>
                <c:pt idx="72">
                  <c:v>124.46759508383734</c:v>
                </c:pt>
                <c:pt idx="73">
                  <c:v>126.41597968100906</c:v>
                </c:pt>
                <c:pt idx="74">
                  <c:v>123.15963179003708</c:v>
                </c:pt>
                <c:pt idx="75">
                  <c:v>121.89744362412736</c:v>
                </c:pt>
                <c:pt idx="76">
                  <c:v>125.87987975060446</c:v>
                </c:pt>
                <c:pt idx="77">
                  <c:v>125.71600766267028</c:v>
                </c:pt>
                <c:pt idx="78">
                  <c:v>131.05189521944078</c:v>
                </c:pt>
                <c:pt idx="79">
                  <c:v>131.83437726454147</c:v>
                </c:pt>
                <c:pt idx="80">
                  <c:v>134.17464861490777</c:v>
                </c:pt>
                <c:pt idx="81">
                  <c:v>139.43835783522388</c:v>
                </c:pt>
                <c:pt idx="82">
                  <c:v>139.48513743300543</c:v>
                </c:pt>
                <c:pt idx="83">
                  <c:v>142.51103123183881</c:v>
                </c:pt>
                <c:pt idx="84">
                  <c:v>146.70340156553806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13-094E-9EBB-5AB1AC53C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904640"/>
        <c:axId val="1832887488"/>
      </c:lineChart>
      <c:dateAx>
        <c:axId val="1833904640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832887488"/>
        <c:crosses val="autoZero"/>
        <c:auto val="1"/>
        <c:lblOffset val="100"/>
        <c:baseTimeUnit val="months"/>
        <c:majorUnit val="9"/>
        <c:majorTimeUnit val="months"/>
        <c:minorUnit val="3"/>
        <c:minorTimeUnit val="months"/>
      </c:dateAx>
      <c:valAx>
        <c:axId val="1832887488"/>
        <c:scaling>
          <c:orientation val="minMax"/>
          <c:max val="3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833904640"/>
        <c:crosses val="autoZero"/>
        <c:crossBetween val="between"/>
      </c:valAx>
      <c:spPr>
        <a:noFill/>
        <a:ln cmpd="dbl"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34348501716096747"/>
          <c:y val="0.1025832559087079"/>
          <c:w val="0.3161138795778366"/>
          <c:h val="5.01211200765589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RNWH &amp; Inflation (CPI) MoM,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Charts!$I$2</c:f>
              <c:strCache>
                <c:ptCount val="1"/>
                <c:pt idx="0">
                  <c:v>Inflation (CPI) MoM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Charts!$G$4:$G$88</c:f>
              <c:numCache>
                <c:formatCode>0.00%</c:formatCode>
                <c:ptCount val="85"/>
                <c:pt idx="0">
                  <c:v>2.1680216802167918E-2</c:v>
                </c:pt>
                <c:pt idx="1">
                  <c:v>6.6312997347480085E-2</c:v>
                </c:pt>
                <c:pt idx="2">
                  <c:v>-2.8606965174129306E-2</c:v>
                </c:pt>
                <c:pt idx="3">
                  <c:v>0.10115236875800249</c:v>
                </c:pt>
                <c:pt idx="4">
                  <c:v>-3.4883720930232509E-2</c:v>
                </c:pt>
                <c:pt idx="5">
                  <c:v>-3.6144578313253017E-2</c:v>
                </c:pt>
                <c:pt idx="6">
                  <c:v>-3.3749999999999947E-2</c:v>
                </c:pt>
                <c:pt idx="7">
                  <c:v>-3.8809831824062613E-3</c:v>
                </c:pt>
                <c:pt idx="8">
                  <c:v>-5.1948051948051965E-3</c:v>
                </c:pt>
                <c:pt idx="9">
                  <c:v>1.8276762402088753E-2</c:v>
                </c:pt>
                <c:pt idx="10">
                  <c:v>0.39999999999999991</c:v>
                </c:pt>
                <c:pt idx="11">
                  <c:v>-8.4249084249084283E-2</c:v>
                </c:pt>
                <c:pt idx="12">
                  <c:v>-1.2000000000000011E-2</c:v>
                </c:pt>
                <c:pt idx="13">
                  <c:v>-0.23886639676113364</c:v>
                </c:pt>
                <c:pt idx="14">
                  <c:v>0.2021276595744681</c:v>
                </c:pt>
                <c:pt idx="15">
                  <c:v>2.433628318584069E-2</c:v>
                </c:pt>
                <c:pt idx="16">
                  <c:v>-4.3196544276457916E-2</c:v>
                </c:pt>
                <c:pt idx="17">
                  <c:v>-1.5801354401805856E-2</c:v>
                </c:pt>
                <c:pt idx="18">
                  <c:v>-2.9816513761467878E-2</c:v>
                </c:pt>
                <c:pt idx="19">
                  <c:v>7.5650118203309802E-2</c:v>
                </c:pt>
                <c:pt idx="20">
                  <c:v>-4.3956043956043911E-2</c:v>
                </c:pt>
                <c:pt idx="21">
                  <c:v>0.13793103448275867</c:v>
                </c:pt>
                <c:pt idx="22">
                  <c:v>0.13131313131313127</c:v>
                </c:pt>
                <c:pt idx="23">
                  <c:v>-6.4285714285714279E-2</c:v>
                </c:pt>
                <c:pt idx="24">
                  <c:v>-4.1984732824427495E-2</c:v>
                </c:pt>
                <c:pt idx="25">
                  <c:v>0.12350597609561742</c:v>
                </c:pt>
                <c:pt idx="26">
                  <c:v>0.10815602836879434</c:v>
                </c:pt>
                <c:pt idx="27">
                  <c:v>1.760000000000006E-2</c:v>
                </c:pt>
                <c:pt idx="28">
                  <c:v>6.1320754716981174E-2</c:v>
                </c:pt>
                <c:pt idx="29">
                  <c:v>0.10518518518518527</c:v>
                </c:pt>
                <c:pt idx="30">
                  <c:v>2.815013404825728E-2</c:v>
                </c:pt>
                <c:pt idx="31">
                  <c:v>2.9986962190352129E-2</c:v>
                </c:pt>
                <c:pt idx="32">
                  <c:v>-3.4177215189873378E-2</c:v>
                </c:pt>
                <c:pt idx="33">
                  <c:v>5.242463958060295E-2</c:v>
                </c:pt>
                <c:pt idx="34">
                  <c:v>3.9850560398505541E-2</c:v>
                </c:pt>
                <c:pt idx="35">
                  <c:v>-0.13772455089820357</c:v>
                </c:pt>
                <c:pt idx="36">
                  <c:v>-5.555555555555558E-2</c:v>
                </c:pt>
                <c:pt idx="37">
                  <c:v>5.8823529411764497E-3</c:v>
                </c:pt>
                <c:pt idx="38">
                  <c:v>2.1929824561403466E-2</c:v>
                </c:pt>
                <c:pt idx="39">
                  <c:v>-1.0014306151645225E-2</c:v>
                </c:pt>
                <c:pt idx="40">
                  <c:v>-7.5144508670520249E-2</c:v>
                </c:pt>
                <c:pt idx="41">
                  <c:v>0.15781249999999991</c:v>
                </c:pt>
                <c:pt idx="42">
                  <c:v>-0.13225371120107965</c:v>
                </c:pt>
                <c:pt idx="43">
                  <c:v>-0.11353032659409024</c:v>
                </c:pt>
                <c:pt idx="44">
                  <c:v>7.7192982456140369E-2</c:v>
                </c:pt>
                <c:pt idx="45">
                  <c:v>0.1123778501628665</c:v>
                </c:pt>
                <c:pt idx="46">
                  <c:v>7.1742313323572393E-2</c:v>
                </c:pt>
                <c:pt idx="47">
                  <c:v>0</c:v>
                </c:pt>
                <c:pt idx="48">
                  <c:v>-2.5956284153005438E-2</c:v>
                </c:pt>
                <c:pt idx="49">
                  <c:v>-5.1893408134642383E-2</c:v>
                </c:pt>
                <c:pt idx="50">
                  <c:v>7.5443786982248628E-2</c:v>
                </c:pt>
                <c:pt idx="51">
                  <c:v>-1.6506189821182904E-2</c:v>
                </c:pt>
                <c:pt idx="52">
                  <c:v>4.0559440559440496E-2</c:v>
                </c:pt>
                <c:pt idx="53">
                  <c:v>-1.8817204301075252E-2</c:v>
                </c:pt>
                <c:pt idx="54">
                  <c:v>-1.6438356164383605E-2</c:v>
                </c:pt>
                <c:pt idx="55">
                  <c:v>-6.9637883008356605E-3</c:v>
                </c:pt>
                <c:pt idx="56">
                  <c:v>5.6100981767182034E-3</c:v>
                </c:pt>
                <c:pt idx="57">
                  <c:v>0.17433751743375181</c:v>
                </c:pt>
                <c:pt idx="58">
                  <c:v>2.0190023752969077E-2</c:v>
                </c:pt>
                <c:pt idx="59">
                  <c:v>2.4447031431897637E-2</c:v>
                </c:pt>
                <c:pt idx="60">
                  <c:v>-5.6818181818182323E-3</c:v>
                </c:pt>
                <c:pt idx="61">
                  <c:v>5.600000000000005E-2</c:v>
                </c:pt>
                <c:pt idx="62">
                  <c:v>2.2727272727272707E-2</c:v>
                </c:pt>
                <c:pt idx="63">
                  <c:v>0.13015873015873014</c:v>
                </c:pt>
                <c:pt idx="64">
                  <c:v>-5.6179775280899014E-3</c:v>
                </c:pt>
                <c:pt idx="65">
                  <c:v>2.2598870056497189E-2</c:v>
                </c:pt>
                <c:pt idx="66">
                  <c:v>-1.2891344383057057E-2</c:v>
                </c:pt>
                <c:pt idx="67">
                  <c:v>-1.8656716417910446E-2</c:v>
                </c:pt>
                <c:pt idx="68">
                  <c:v>3.9923954372623527E-2</c:v>
                </c:pt>
                <c:pt idx="69">
                  <c:v>-4.9360146252285242E-2</c:v>
                </c:pt>
                <c:pt idx="70">
                  <c:v>-0.12980769230769229</c:v>
                </c:pt>
                <c:pt idx="71">
                  <c:v>-0.19116022099447516</c:v>
                </c:pt>
                <c:pt idx="72">
                  <c:v>-9.9726775956284208E-2</c:v>
                </c:pt>
                <c:pt idx="73">
                  <c:v>4.5523520485584168E-3</c:v>
                </c:pt>
                <c:pt idx="74">
                  <c:v>0.1404833836858006</c:v>
                </c:pt>
                <c:pt idx="75">
                  <c:v>8.6092715231788075E-2</c:v>
                </c:pt>
                <c:pt idx="76">
                  <c:v>3.6585365853658569E-2</c:v>
                </c:pt>
                <c:pt idx="77">
                  <c:v>-8.2352941176470074E-3</c:v>
                </c:pt>
                <c:pt idx="78">
                  <c:v>-4.9822064056939452E-2</c:v>
                </c:pt>
                <c:pt idx="79">
                  <c:v>1.1235955056179803E-2</c:v>
                </c:pt>
                <c:pt idx="80">
                  <c:v>0.14320987654320994</c:v>
                </c:pt>
                <c:pt idx="81">
                  <c:v>8.6393088552916275E-3</c:v>
                </c:pt>
                <c:pt idx="82">
                  <c:v>-4.6038543897216289E-2</c:v>
                </c:pt>
                <c:pt idx="83">
                  <c:v>3.1425364758698171E-2</c:v>
                </c:pt>
              </c:numCache>
            </c:numRef>
          </c:xVal>
          <c:yVal>
            <c:numRef>
              <c:f>Charts!$I$4:$I$88</c:f>
              <c:numCache>
                <c:formatCode>0.00%</c:formatCode>
                <c:ptCount val="85"/>
                <c:pt idx="0">
                  <c:v>4.0000000000000001E-3</c:v>
                </c:pt>
                <c:pt idx="1">
                  <c:v>-2E-3</c:v>
                </c:pt>
                <c:pt idx="2">
                  <c:v>4.0000000000000001E-3</c:v>
                </c:pt>
                <c:pt idx="3">
                  <c:v>0</c:v>
                </c:pt>
                <c:pt idx="4">
                  <c:v>3.0000000000000001E-3</c:v>
                </c:pt>
                <c:pt idx="5">
                  <c:v>1E-3</c:v>
                </c:pt>
                <c:pt idx="6">
                  <c:v>3.0000000000000001E-3</c:v>
                </c:pt>
                <c:pt idx="7">
                  <c:v>2E-3</c:v>
                </c:pt>
                <c:pt idx="8">
                  <c:v>1.2E-2</c:v>
                </c:pt>
                <c:pt idx="9">
                  <c:v>3.0000000000000001E-3</c:v>
                </c:pt>
                <c:pt idx="10">
                  <c:v>4.0000000000000001E-3</c:v>
                </c:pt>
                <c:pt idx="11">
                  <c:v>-1E-3</c:v>
                </c:pt>
                <c:pt idx="12">
                  <c:v>3.0000000000000001E-3</c:v>
                </c:pt>
                <c:pt idx="13">
                  <c:v>1E-3</c:v>
                </c:pt>
                <c:pt idx="14">
                  <c:v>6.0000000000000001E-3</c:v>
                </c:pt>
                <c:pt idx="15">
                  <c:v>0</c:v>
                </c:pt>
                <c:pt idx="16">
                  <c:v>3.0000000000000001E-3</c:v>
                </c:pt>
                <c:pt idx="17">
                  <c:v>-2E-3</c:v>
                </c:pt>
                <c:pt idx="18">
                  <c:v>1E-3</c:v>
                </c:pt>
                <c:pt idx="19">
                  <c:v>3.0000000000000001E-3</c:v>
                </c:pt>
                <c:pt idx="20">
                  <c:v>3.0000000000000001E-3</c:v>
                </c:pt>
                <c:pt idx="21">
                  <c:v>6.0000000000000001E-3</c:v>
                </c:pt>
                <c:pt idx="22">
                  <c:v>6.0000000000000001E-3</c:v>
                </c:pt>
                <c:pt idx="23">
                  <c:v>-6.0000000000000001E-3</c:v>
                </c:pt>
                <c:pt idx="24">
                  <c:v>4.0000000000000001E-3</c:v>
                </c:pt>
                <c:pt idx="25">
                  <c:v>-2E-3</c:v>
                </c:pt>
                <c:pt idx="26">
                  <c:v>0</c:v>
                </c:pt>
                <c:pt idx="27">
                  <c:v>5.0000000000000001E-3</c:v>
                </c:pt>
                <c:pt idx="28">
                  <c:v>3.0000000000000001E-3</c:v>
                </c:pt>
                <c:pt idx="29">
                  <c:v>-4.0000000000000001E-3</c:v>
                </c:pt>
                <c:pt idx="30">
                  <c:v>1E-3</c:v>
                </c:pt>
                <c:pt idx="31">
                  <c:v>7.0000000000000001E-3</c:v>
                </c:pt>
                <c:pt idx="32">
                  <c:v>1.2E-2</c:v>
                </c:pt>
                <c:pt idx="33">
                  <c:v>8.0000000000000002E-3</c:v>
                </c:pt>
                <c:pt idx="34">
                  <c:v>1.0999999999999999E-2</c:v>
                </c:pt>
                <c:pt idx="35">
                  <c:v>-6.0000000000000001E-3</c:v>
                </c:pt>
                <c:pt idx="36">
                  <c:v>4.0000000000000001E-3</c:v>
                </c:pt>
                <c:pt idx="37">
                  <c:v>4.0000000000000001E-3</c:v>
                </c:pt>
                <c:pt idx="38">
                  <c:v>0.02</c:v>
                </c:pt>
                <c:pt idx="39">
                  <c:v>5.0000000000000001E-3</c:v>
                </c:pt>
                <c:pt idx="40">
                  <c:v>5.0000000000000001E-3</c:v>
                </c:pt>
                <c:pt idx="41">
                  <c:v>6.0000000000000001E-3</c:v>
                </c:pt>
                <c:pt idx="42">
                  <c:v>8.0000000000000002E-3</c:v>
                </c:pt>
                <c:pt idx="43">
                  <c:v>7.0000000000000001E-3</c:v>
                </c:pt>
                <c:pt idx="44">
                  <c:v>2.5000000000000001E-2</c:v>
                </c:pt>
                <c:pt idx="45">
                  <c:v>1.0999999999999999E-2</c:v>
                </c:pt>
                <c:pt idx="46">
                  <c:v>8.0000000000000002E-3</c:v>
                </c:pt>
                <c:pt idx="47">
                  <c:v>-1E-3</c:v>
                </c:pt>
                <c:pt idx="48">
                  <c:v>5.0000000000000001E-3</c:v>
                </c:pt>
                <c:pt idx="49">
                  <c:v>7.0000000000000001E-3</c:v>
                </c:pt>
                <c:pt idx="50">
                  <c:v>1.0999999999999999E-2</c:v>
                </c:pt>
                <c:pt idx="51">
                  <c:v>3.0000000000000001E-3</c:v>
                </c:pt>
                <c:pt idx="52">
                  <c:v>7.0000000000000001E-3</c:v>
                </c:pt>
                <c:pt idx="53">
                  <c:v>0</c:v>
                </c:pt>
                <c:pt idx="54">
                  <c:v>5.0000000000000001E-3</c:v>
                </c:pt>
                <c:pt idx="55">
                  <c:v>6.0000000000000001E-3</c:v>
                </c:pt>
                <c:pt idx="56">
                  <c:v>6.0000000000000001E-3</c:v>
                </c:pt>
                <c:pt idx="57">
                  <c:v>3.0000000000000001E-3</c:v>
                </c:pt>
                <c:pt idx="58">
                  <c:v>1E-3</c:v>
                </c:pt>
                <c:pt idx="59">
                  <c:v>-2E-3</c:v>
                </c:pt>
                <c:pt idx="60">
                  <c:v>3.0000000000000001E-3</c:v>
                </c:pt>
                <c:pt idx="61">
                  <c:v>-1E-3</c:v>
                </c:pt>
                <c:pt idx="62">
                  <c:v>0</c:v>
                </c:pt>
                <c:pt idx="63">
                  <c:v>4.0000000000000001E-3</c:v>
                </c:pt>
                <c:pt idx="64">
                  <c:v>-4.0000000000000001E-3</c:v>
                </c:pt>
                <c:pt idx="65">
                  <c:v>4.0000000000000001E-3</c:v>
                </c:pt>
                <c:pt idx="66">
                  <c:v>1E-3</c:v>
                </c:pt>
                <c:pt idx="67">
                  <c:v>0</c:v>
                </c:pt>
                <c:pt idx="68">
                  <c:v>-2E-3</c:v>
                </c:pt>
                <c:pt idx="69">
                  <c:v>0</c:v>
                </c:pt>
                <c:pt idx="70">
                  <c:v>4.0000000000000001E-3</c:v>
                </c:pt>
                <c:pt idx="71">
                  <c:v>-3.0000000000000001E-3</c:v>
                </c:pt>
                <c:pt idx="72">
                  <c:v>0</c:v>
                </c:pt>
                <c:pt idx="73">
                  <c:v>2E-3</c:v>
                </c:pt>
                <c:pt idx="74">
                  <c:v>-2E-3</c:v>
                </c:pt>
                <c:pt idx="75">
                  <c:v>1E-3</c:v>
                </c:pt>
                <c:pt idx="76">
                  <c:v>4.0000000000000001E-3</c:v>
                </c:pt>
                <c:pt idx="77">
                  <c:v>0</c:v>
                </c:pt>
                <c:pt idx="78">
                  <c:v>0</c:v>
                </c:pt>
                <c:pt idx="79">
                  <c:v>3.0000000000000001E-3</c:v>
                </c:pt>
                <c:pt idx="80">
                  <c:v>6.0000000000000001E-3</c:v>
                </c:pt>
                <c:pt idx="81">
                  <c:v>2E-3</c:v>
                </c:pt>
                <c:pt idx="82">
                  <c:v>5.0000000000000001E-3</c:v>
                </c:pt>
                <c:pt idx="83">
                  <c:v>-8.0000000000000002E-3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B-914F-8D1C-304802BD6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310208"/>
        <c:axId val="1838350336"/>
      </c:scatterChart>
      <c:valAx>
        <c:axId val="183431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Stock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A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838350336"/>
        <c:crosses val="autoZero"/>
        <c:crossBetween val="midCat"/>
      </c:valAx>
      <c:valAx>
        <c:axId val="183835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Inflation</a:t>
                </a:r>
                <a:r>
                  <a:rPr lang="en-GB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83431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RNWH &amp; Interest Rate MoM,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Charts!$L$2</c:f>
              <c:strCache>
                <c:ptCount val="1"/>
                <c:pt idx="0">
                  <c:v>Rate Change m/m, %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Charts!$G$3:$G$87</c:f>
              <c:numCache>
                <c:formatCode>0.00%</c:formatCode>
                <c:ptCount val="85"/>
                <c:pt idx="1">
                  <c:v>2.1680216802167918E-2</c:v>
                </c:pt>
                <c:pt idx="2">
                  <c:v>6.6312997347480085E-2</c:v>
                </c:pt>
                <c:pt idx="3">
                  <c:v>-2.8606965174129306E-2</c:v>
                </c:pt>
                <c:pt idx="4">
                  <c:v>0.10115236875800249</c:v>
                </c:pt>
                <c:pt idx="5">
                  <c:v>-3.4883720930232509E-2</c:v>
                </c:pt>
                <c:pt idx="6">
                  <c:v>-3.6144578313253017E-2</c:v>
                </c:pt>
                <c:pt idx="7">
                  <c:v>-3.3749999999999947E-2</c:v>
                </c:pt>
                <c:pt idx="8">
                  <c:v>-3.8809831824062613E-3</c:v>
                </c:pt>
                <c:pt idx="9">
                  <c:v>-5.1948051948051965E-3</c:v>
                </c:pt>
                <c:pt idx="10">
                  <c:v>1.8276762402088753E-2</c:v>
                </c:pt>
                <c:pt idx="11">
                  <c:v>0.39999999999999991</c:v>
                </c:pt>
                <c:pt idx="12">
                  <c:v>-8.4249084249084283E-2</c:v>
                </c:pt>
                <c:pt idx="13">
                  <c:v>-1.2000000000000011E-2</c:v>
                </c:pt>
                <c:pt idx="14">
                  <c:v>-0.23886639676113364</c:v>
                </c:pt>
                <c:pt idx="15">
                  <c:v>0.2021276595744681</c:v>
                </c:pt>
                <c:pt idx="16">
                  <c:v>2.433628318584069E-2</c:v>
                </c:pt>
                <c:pt idx="17">
                  <c:v>-4.3196544276457916E-2</c:v>
                </c:pt>
                <c:pt idx="18">
                  <c:v>-1.5801354401805856E-2</c:v>
                </c:pt>
                <c:pt idx="19">
                  <c:v>-2.9816513761467878E-2</c:v>
                </c:pt>
                <c:pt idx="20">
                  <c:v>7.5650118203309802E-2</c:v>
                </c:pt>
                <c:pt idx="21">
                  <c:v>-4.3956043956043911E-2</c:v>
                </c:pt>
                <c:pt idx="22">
                  <c:v>0.13793103448275867</c:v>
                </c:pt>
                <c:pt idx="23">
                  <c:v>0.13131313131313127</c:v>
                </c:pt>
                <c:pt idx="24">
                  <c:v>-6.4285714285714279E-2</c:v>
                </c:pt>
                <c:pt idx="25">
                  <c:v>-4.1984732824427495E-2</c:v>
                </c:pt>
                <c:pt idx="26">
                  <c:v>0.12350597609561742</c:v>
                </c:pt>
                <c:pt idx="27">
                  <c:v>0.10815602836879434</c:v>
                </c:pt>
                <c:pt idx="28">
                  <c:v>1.760000000000006E-2</c:v>
                </c:pt>
                <c:pt idx="29">
                  <c:v>6.1320754716981174E-2</c:v>
                </c:pt>
                <c:pt idx="30">
                  <c:v>0.10518518518518527</c:v>
                </c:pt>
                <c:pt idx="31">
                  <c:v>2.815013404825728E-2</c:v>
                </c:pt>
                <c:pt idx="32">
                  <c:v>2.9986962190352129E-2</c:v>
                </c:pt>
                <c:pt idx="33">
                  <c:v>-3.4177215189873378E-2</c:v>
                </c:pt>
                <c:pt idx="34">
                  <c:v>5.242463958060295E-2</c:v>
                </c:pt>
                <c:pt idx="35">
                  <c:v>3.9850560398505541E-2</c:v>
                </c:pt>
                <c:pt idx="36">
                  <c:v>-0.13772455089820357</c:v>
                </c:pt>
                <c:pt idx="37">
                  <c:v>-5.555555555555558E-2</c:v>
                </c:pt>
                <c:pt idx="38">
                  <c:v>5.8823529411764497E-3</c:v>
                </c:pt>
                <c:pt idx="39">
                  <c:v>2.1929824561403466E-2</c:v>
                </c:pt>
                <c:pt idx="40">
                  <c:v>-1.0014306151645225E-2</c:v>
                </c:pt>
                <c:pt idx="41">
                  <c:v>-7.5144508670520249E-2</c:v>
                </c:pt>
                <c:pt idx="42">
                  <c:v>0.15781249999999991</c:v>
                </c:pt>
                <c:pt idx="43">
                  <c:v>-0.13225371120107965</c:v>
                </c:pt>
                <c:pt idx="44">
                  <c:v>-0.11353032659409024</c:v>
                </c:pt>
                <c:pt idx="45">
                  <c:v>7.7192982456140369E-2</c:v>
                </c:pt>
                <c:pt idx="46">
                  <c:v>0.1123778501628665</c:v>
                </c:pt>
                <c:pt idx="47">
                  <c:v>7.1742313323572393E-2</c:v>
                </c:pt>
                <c:pt idx="48">
                  <c:v>0</c:v>
                </c:pt>
                <c:pt idx="49">
                  <c:v>-2.5956284153005438E-2</c:v>
                </c:pt>
                <c:pt idx="50">
                  <c:v>-5.1893408134642383E-2</c:v>
                </c:pt>
                <c:pt idx="51">
                  <c:v>7.5443786982248628E-2</c:v>
                </c:pt>
                <c:pt idx="52">
                  <c:v>-1.6506189821182904E-2</c:v>
                </c:pt>
                <c:pt idx="53">
                  <c:v>4.0559440559440496E-2</c:v>
                </c:pt>
                <c:pt idx="54">
                  <c:v>-1.8817204301075252E-2</c:v>
                </c:pt>
                <c:pt idx="55">
                  <c:v>-1.6438356164383605E-2</c:v>
                </c:pt>
                <c:pt idx="56">
                  <c:v>-6.9637883008356605E-3</c:v>
                </c:pt>
                <c:pt idx="57">
                  <c:v>5.6100981767182034E-3</c:v>
                </c:pt>
                <c:pt idx="58">
                  <c:v>0.17433751743375181</c:v>
                </c:pt>
                <c:pt idx="59">
                  <c:v>2.0190023752969077E-2</c:v>
                </c:pt>
                <c:pt idx="60">
                  <c:v>2.4447031431897637E-2</c:v>
                </c:pt>
                <c:pt idx="61">
                  <c:v>-5.6818181818182323E-3</c:v>
                </c:pt>
                <c:pt idx="62">
                  <c:v>5.600000000000005E-2</c:v>
                </c:pt>
                <c:pt idx="63">
                  <c:v>2.2727272727272707E-2</c:v>
                </c:pt>
                <c:pt idx="64">
                  <c:v>0.13015873015873014</c:v>
                </c:pt>
                <c:pt idx="65">
                  <c:v>-5.6179775280899014E-3</c:v>
                </c:pt>
                <c:pt idx="66">
                  <c:v>2.2598870056497189E-2</c:v>
                </c:pt>
                <c:pt idx="67">
                  <c:v>-1.2891344383057057E-2</c:v>
                </c:pt>
                <c:pt idx="68">
                  <c:v>-1.8656716417910446E-2</c:v>
                </c:pt>
                <c:pt idx="69">
                  <c:v>3.9923954372623527E-2</c:v>
                </c:pt>
                <c:pt idx="70">
                  <c:v>-4.9360146252285242E-2</c:v>
                </c:pt>
                <c:pt idx="71">
                  <c:v>-0.12980769230769229</c:v>
                </c:pt>
                <c:pt idx="72">
                  <c:v>-0.19116022099447516</c:v>
                </c:pt>
                <c:pt idx="73">
                  <c:v>-9.9726775956284208E-2</c:v>
                </c:pt>
                <c:pt idx="74">
                  <c:v>4.5523520485584168E-3</c:v>
                </c:pt>
                <c:pt idx="75">
                  <c:v>0.1404833836858006</c:v>
                </c:pt>
                <c:pt idx="76">
                  <c:v>8.6092715231788075E-2</c:v>
                </c:pt>
                <c:pt idx="77">
                  <c:v>3.6585365853658569E-2</c:v>
                </c:pt>
                <c:pt idx="78">
                  <c:v>-8.2352941176470074E-3</c:v>
                </c:pt>
                <c:pt idx="79">
                  <c:v>-4.9822064056939452E-2</c:v>
                </c:pt>
                <c:pt idx="80">
                  <c:v>1.1235955056179803E-2</c:v>
                </c:pt>
                <c:pt idx="81">
                  <c:v>0.14320987654320994</c:v>
                </c:pt>
                <c:pt idx="82">
                  <c:v>8.6393088552916275E-3</c:v>
                </c:pt>
                <c:pt idx="83">
                  <c:v>-4.6038543897216289E-2</c:v>
                </c:pt>
                <c:pt idx="84">
                  <c:v>3.1425364758698171E-2</c:v>
                </c:pt>
              </c:numCache>
            </c:numRef>
          </c:xVal>
          <c:yVal>
            <c:numRef>
              <c:f>Charts!$L$3:$L$87</c:f>
              <c:numCache>
                <c:formatCode>0.00%</c:formatCode>
                <c:ptCount val="8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-0.8666666666666667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1.5</c:v>
                </c:pt>
                <c:pt idx="37">
                  <c:v>0</c:v>
                </c:pt>
                <c:pt idx="38">
                  <c:v>1</c:v>
                </c:pt>
                <c:pt idx="39">
                  <c:v>0.5</c:v>
                </c:pt>
                <c:pt idx="40">
                  <c:v>0</c:v>
                </c:pt>
                <c:pt idx="41">
                  <c:v>0.33333333333333326</c:v>
                </c:pt>
                <c:pt idx="42">
                  <c:v>0.25</c:v>
                </c:pt>
                <c:pt idx="43">
                  <c:v>0</c:v>
                </c:pt>
                <c:pt idx="44">
                  <c:v>0.39999999999999991</c:v>
                </c:pt>
                <c:pt idx="45">
                  <c:v>0.28571428571428581</c:v>
                </c:pt>
                <c:pt idx="46">
                  <c:v>0</c:v>
                </c:pt>
                <c:pt idx="47">
                  <c:v>0.33333333333333326</c:v>
                </c:pt>
                <c:pt idx="48">
                  <c:v>0.16666666666666674</c:v>
                </c:pt>
                <c:pt idx="49">
                  <c:v>0</c:v>
                </c:pt>
                <c:pt idx="50">
                  <c:v>0.14285714285714279</c:v>
                </c:pt>
                <c:pt idx="51">
                  <c:v>6.25E-2</c:v>
                </c:pt>
                <c:pt idx="52">
                  <c:v>0</c:v>
                </c:pt>
                <c:pt idx="53">
                  <c:v>5.8823529411764719E-2</c:v>
                </c:pt>
                <c:pt idx="54">
                  <c:v>0.11111111111111116</c:v>
                </c:pt>
                <c:pt idx="55">
                  <c:v>0</c:v>
                </c:pt>
                <c:pt idx="56">
                  <c:v>5.0000000000000044E-2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-4.7619047619047672E-2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-5.0000000000000044E-2</c:v>
                </c:pt>
                <c:pt idx="72">
                  <c:v>0</c:v>
                </c:pt>
                <c:pt idx="73">
                  <c:v>0</c:v>
                </c:pt>
                <c:pt idx="74">
                  <c:v>-5.2631578947368474E-2</c:v>
                </c:pt>
                <c:pt idx="75">
                  <c:v>0</c:v>
                </c:pt>
                <c:pt idx="76">
                  <c:v>0</c:v>
                </c:pt>
                <c:pt idx="77">
                  <c:v>-5.555555555555558E-2</c:v>
                </c:pt>
                <c:pt idx="78">
                  <c:v>0</c:v>
                </c:pt>
                <c:pt idx="79">
                  <c:v>0</c:v>
                </c:pt>
                <c:pt idx="80">
                  <c:v>-5.8823529411764719E-2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-6.25E-2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BB-9843-96DE-09FB3E1B8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199167"/>
        <c:axId val="264195583"/>
      </c:scatterChart>
      <c:valAx>
        <c:axId val="26419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Stock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A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264195583"/>
        <c:crosses val="autoZero"/>
        <c:crossBetween val="midCat"/>
      </c:valAx>
      <c:valAx>
        <c:axId val="26419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Interest</a:t>
                </a:r>
                <a:r>
                  <a:rPr lang="en-GB" baseline="0"/>
                  <a:t> Rate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264199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RNWH Stock Price</a:t>
            </a:r>
            <a:r>
              <a:rPr lang="en-GB" baseline="0"/>
              <a:t> </a:t>
            </a:r>
            <a:endParaRPr lang="en-GB"/>
          </a:p>
        </c:rich>
      </c:tx>
      <c:layout>
        <c:manualLayout>
          <c:xMode val="edge"/>
          <c:yMode val="edge"/>
          <c:x val="0.40051545249017279"/>
          <c:y val="2.76812553098120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Charts!$B$3:$B$87</c:f>
              <c:numCache>
                <c:formatCode>m/d/yy</c:formatCode>
                <c:ptCount val="8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</c:numCache>
            </c:numRef>
          </c:cat>
          <c:val>
            <c:numRef>
              <c:f>Charts!$C$3:$C$87</c:f>
              <c:numCache>
                <c:formatCode>General</c:formatCode>
                <c:ptCount val="85"/>
                <c:pt idx="0">
                  <c:v>369</c:v>
                </c:pt>
                <c:pt idx="1">
                  <c:v>377</c:v>
                </c:pt>
                <c:pt idx="2">
                  <c:v>402</c:v>
                </c:pt>
                <c:pt idx="3">
                  <c:v>390.5</c:v>
                </c:pt>
                <c:pt idx="4">
                  <c:v>430</c:v>
                </c:pt>
                <c:pt idx="5">
                  <c:v>415</c:v>
                </c:pt>
                <c:pt idx="6">
                  <c:v>400</c:v>
                </c:pt>
                <c:pt idx="7">
                  <c:v>386.5</c:v>
                </c:pt>
                <c:pt idx="8">
                  <c:v>385</c:v>
                </c:pt>
                <c:pt idx="9">
                  <c:v>383</c:v>
                </c:pt>
                <c:pt idx="10">
                  <c:v>390</c:v>
                </c:pt>
                <c:pt idx="11">
                  <c:v>546</c:v>
                </c:pt>
                <c:pt idx="12">
                  <c:v>500</c:v>
                </c:pt>
                <c:pt idx="13">
                  <c:v>494</c:v>
                </c:pt>
                <c:pt idx="14">
                  <c:v>376</c:v>
                </c:pt>
                <c:pt idx="15">
                  <c:v>452</c:v>
                </c:pt>
                <c:pt idx="16">
                  <c:v>463</c:v>
                </c:pt>
                <c:pt idx="17">
                  <c:v>443</c:v>
                </c:pt>
                <c:pt idx="18">
                  <c:v>436</c:v>
                </c:pt>
                <c:pt idx="19">
                  <c:v>423</c:v>
                </c:pt>
                <c:pt idx="20">
                  <c:v>455</c:v>
                </c:pt>
                <c:pt idx="21">
                  <c:v>435</c:v>
                </c:pt>
                <c:pt idx="22">
                  <c:v>495</c:v>
                </c:pt>
                <c:pt idx="23">
                  <c:v>560</c:v>
                </c:pt>
                <c:pt idx="24">
                  <c:v>524</c:v>
                </c:pt>
                <c:pt idx="25">
                  <c:v>502</c:v>
                </c:pt>
                <c:pt idx="26">
                  <c:v>564</c:v>
                </c:pt>
                <c:pt idx="27">
                  <c:v>625</c:v>
                </c:pt>
                <c:pt idx="28">
                  <c:v>636</c:v>
                </c:pt>
                <c:pt idx="29">
                  <c:v>675</c:v>
                </c:pt>
                <c:pt idx="30">
                  <c:v>746</c:v>
                </c:pt>
                <c:pt idx="31">
                  <c:v>767</c:v>
                </c:pt>
                <c:pt idx="32">
                  <c:v>790</c:v>
                </c:pt>
                <c:pt idx="33">
                  <c:v>763</c:v>
                </c:pt>
                <c:pt idx="34">
                  <c:v>803</c:v>
                </c:pt>
                <c:pt idx="35">
                  <c:v>835</c:v>
                </c:pt>
                <c:pt idx="36">
                  <c:v>720</c:v>
                </c:pt>
                <c:pt idx="37">
                  <c:v>680</c:v>
                </c:pt>
                <c:pt idx="38">
                  <c:v>684</c:v>
                </c:pt>
                <c:pt idx="39">
                  <c:v>699</c:v>
                </c:pt>
                <c:pt idx="40">
                  <c:v>692</c:v>
                </c:pt>
                <c:pt idx="41">
                  <c:v>640</c:v>
                </c:pt>
                <c:pt idx="42">
                  <c:v>741</c:v>
                </c:pt>
                <c:pt idx="43">
                  <c:v>643</c:v>
                </c:pt>
                <c:pt idx="44">
                  <c:v>570</c:v>
                </c:pt>
                <c:pt idx="45">
                  <c:v>614</c:v>
                </c:pt>
                <c:pt idx="46">
                  <c:v>683</c:v>
                </c:pt>
                <c:pt idx="47">
                  <c:v>732</c:v>
                </c:pt>
                <c:pt idx="48">
                  <c:v>732</c:v>
                </c:pt>
                <c:pt idx="49">
                  <c:v>713</c:v>
                </c:pt>
                <c:pt idx="50">
                  <c:v>676</c:v>
                </c:pt>
                <c:pt idx="51">
                  <c:v>727</c:v>
                </c:pt>
                <c:pt idx="52">
                  <c:v>715</c:v>
                </c:pt>
                <c:pt idx="53">
                  <c:v>744</c:v>
                </c:pt>
                <c:pt idx="54">
                  <c:v>730</c:v>
                </c:pt>
                <c:pt idx="55">
                  <c:v>718</c:v>
                </c:pt>
                <c:pt idx="56">
                  <c:v>713</c:v>
                </c:pt>
                <c:pt idx="57">
                  <c:v>717</c:v>
                </c:pt>
                <c:pt idx="58">
                  <c:v>842</c:v>
                </c:pt>
                <c:pt idx="59">
                  <c:v>859</c:v>
                </c:pt>
                <c:pt idx="60">
                  <c:v>880</c:v>
                </c:pt>
                <c:pt idx="61">
                  <c:v>875</c:v>
                </c:pt>
                <c:pt idx="62">
                  <c:v>924</c:v>
                </c:pt>
                <c:pt idx="63">
                  <c:v>945</c:v>
                </c:pt>
                <c:pt idx="64" formatCode="#,##0.00">
                  <c:v>1068</c:v>
                </c:pt>
                <c:pt idx="65" formatCode="#,##0.00">
                  <c:v>1062</c:v>
                </c:pt>
                <c:pt idx="66" formatCode="#,##0.00">
                  <c:v>1086</c:v>
                </c:pt>
                <c:pt idx="67" formatCode="#,##0.00">
                  <c:v>1072</c:v>
                </c:pt>
                <c:pt idx="68" formatCode="#,##0.00">
                  <c:v>1052</c:v>
                </c:pt>
                <c:pt idx="69" formatCode="#,##0.00">
                  <c:v>1094</c:v>
                </c:pt>
                <c:pt idx="70" formatCode="#,##0.00">
                  <c:v>1040</c:v>
                </c:pt>
                <c:pt idx="71">
                  <c:v>905</c:v>
                </c:pt>
                <c:pt idx="72">
                  <c:v>732</c:v>
                </c:pt>
                <c:pt idx="73">
                  <c:v>659</c:v>
                </c:pt>
                <c:pt idx="74">
                  <c:v>662</c:v>
                </c:pt>
                <c:pt idx="75">
                  <c:v>755</c:v>
                </c:pt>
                <c:pt idx="76">
                  <c:v>820</c:v>
                </c:pt>
                <c:pt idx="77">
                  <c:v>850</c:v>
                </c:pt>
                <c:pt idx="78">
                  <c:v>843</c:v>
                </c:pt>
                <c:pt idx="79">
                  <c:v>801</c:v>
                </c:pt>
                <c:pt idx="80">
                  <c:v>810</c:v>
                </c:pt>
                <c:pt idx="81">
                  <c:v>926</c:v>
                </c:pt>
                <c:pt idx="82">
                  <c:v>934</c:v>
                </c:pt>
                <c:pt idx="83">
                  <c:v>891</c:v>
                </c:pt>
                <c:pt idx="84">
                  <c:v>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B-0B42-8065-D95E1DB2E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037760"/>
        <c:axId val="2135232896"/>
      </c:lineChart>
      <c:dateAx>
        <c:axId val="210403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2135232896"/>
        <c:crosses val="autoZero"/>
        <c:auto val="1"/>
        <c:lblOffset val="100"/>
        <c:baseTimeUnit val="months"/>
        <c:majorUnit val="9"/>
        <c:majorTimeUnit val="months"/>
      </c:dateAx>
      <c:valAx>
        <c:axId val="2135232896"/>
        <c:scaling>
          <c:orientation val="minMax"/>
          <c:max val="12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210403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'Statistics_RNWH&amp;FTSE100 '!$H$1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'Statistics_RNWH&amp;FTSE100 '!$B$3:$B$64</c:f>
              <c:strCache>
                <c:ptCount val="62"/>
                <c:pt idx="0">
                  <c:v>Date</c:v>
                </c:pt>
                <c:pt idx="1">
                  <c:v>01.01.2026</c:v>
                </c:pt>
                <c:pt idx="2">
                  <c:v>01.12.2025</c:v>
                </c:pt>
                <c:pt idx="3">
                  <c:v>01.11.2025</c:v>
                </c:pt>
                <c:pt idx="4">
                  <c:v>01.10.2025</c:v>
                </c:pt>
                <c:pt idx="5">
                  <c:v>01.09.2025</c:v>
                </c:pt>
                <c:pt idx="6">
                  <c:v>01.08.2025</c:v>
                </c:pt>
                <c:pt idx="7">
                  <c:v>01.07.2025</c:v>
                </c:pt>
                <c:pt idx="8">
                  <c:v>01.06.2025</c:v>
                </c:pt>
                <c:pt idx="9">
                  <c:v>01.05.2025</c:v>
                </c:pt>
                <c:pt idx="10">
                  <c:v>01.04.2025</c:v>
                </c:pt>
                <c:pt idx="11">
                  <c:v>01.03.2025</c:v>
                </c:pt>
                <c:pt idx="12">
                  <c:v>01.02.2025</c:v>
                </c:pt>
                <c:pt idx="13">
                  <c:v>01.01.2025</c:v>
                </c:pt>
                <c:pt idx="14">
                  <c:v>01.12.2024</c:v>
                </c:pt>
                <c:pt idx="15">
                  <c:v>01.11.2024</c:v>
                </c:pt>
                <c:pt idx="16">
                  <c:v>01.10.2024</c:v>
                </c:pt>
                <c:pt idx="17">
                  <c:v>01.09.2024</c:v>
                </c:pt>
                <c:pt idx="18">
                  <c:v>01.08.2024</c:v>
                </c:pt>
                <c:pt idx="19">
                  <c:v>01.07.2024</c:v>
                </c:pt>
                <c:pt idx="20">
                  <c:v>01.06.2024</c:v>
                </c:pt>
                <c:pt idx="21">
                  <c:v>01.05.2024</c:v>
                </c:pt>
                <c:pt idx="22">
                  <c:v>01.04.2024</c:v>
                </c:pt>
                <c:pt idx="23">
                  <c:v>01.03.2024</c:v>
                </c:pt>
                <c:pt idx="24">
                  <c:v>01.02.2024</c:v>
                </c:pt>
                <c:pt idx="25">
                  <c:v>01.01.2024</c:v>
                </c:pt>
                <c:pt idx="26">
                  <c:v>01.12.2023</c:v>
                </c:pt>
                <c:pt idx="27">
                  <c:v>01.11.2023</c:v>
                </c:pt>
                <c:pt idx="28">
                  <c:v>01.10.2023</c:v>
                </c:pt>
                <c:pt idx="29">
                  <c:v>01.09.2023</c:v>
                </c:pt>
                <c:pt idx="30">
                  <c:v>01.08.2023</c:v>
                </c:pt>
                <c:pt idx="31">
                  <c:v>01.07.2023</c:v>
                </c:pt>
                <c:pt idx="32">
                  <c:v>01.06.2023</c:v>
                </c:pt>
                <c:pt idx="33">
                  <c:v>01.05.2023</c:v>
                </c:pt>
                <c:pt idx="34">
                  <c:v>01.04.2023</c:v>
                </c:pt>
                <c:pt idx="35">
                  <c:v>01.03.2023</c:v>
                </c:pt>
                <c:pt idx="36">
                  <c:v>01.02.2023</c:v>
                </c:pt>
                <c:pt idx="37">
                  <c:v>01.01.2023</c:v>
                </c:pt>
                <c:pt idx="38">
                  <c:v>01.12.2022</c:v>
                </c:pt>
                <c:pt idx="39">
                  <c:v>01.11.2022</c:v>
                </c:pt>
                <c:pt idx="40">
                  <c:v>01.10.2022</c:v>
                </c:pt>
                <c:pt idx="41">
                  <c:v>01.09.2022</c:v>
                </c:pt>
                <c:pt idx="42">
                  <c:v>01.08.2022</c:v>
                </c:pt>
                <c:pt idx="43">
                  <c:v>01.07.2022</c:v>
                </c:pt>
                <c:pt idx="44">
                  <c:v>01.06.2022</c:v>
                </c:pt>
                <c:pt idx="45">
                  <c:v>01.05.2022</c:v>
                </c:pt>
                <c:pt idx="46">
                  <c:v>01.04.2022</c:v>
                </c:pt>
                <c:pt idx="47">
                  <c:v>01.03.2022</c:v>
                </c:pt>
                <c:pt idx="48">
                  <c:v>01.02.2022</c:v>
                </c:pt>
                <c:pt idx="49">
                  <c:v>01.01.2022</c:v>
                </c:pt>
                <c:pt idx="50">
                  <c:v>01.12.2021</c:v>
                </c:pt>
                <c:pt idx="51">
                  <c:v>01.11.2021</c:v>
                </c:pt>
                <c:pt idx="52">
                  <c:v>01.10.2021</c:v>
                </c:pt>
                <c:pt idx="53">
                  <c:v>01.09.2021</c:v>
                </c:pt>
                <c:pt idx="54">
                  <c:v>01.08.2021</c:v>
                </c:pt>
                <c:pt idx="55">
                  <c:v>01.07.2021</c:v>
                </c:pt>
                <c:pt idx="56">
                  <c:v>01.06.2021</c:v>
                </c:pt>
                <c:pt idx="57">
                  <c:v>01.05.2021</c:v>
                </c:pt>
                <c:pt idx="58">
                  <c:v>01.04.2021</c:v>
                </c:pt>
                <c:pt idx="59">
                  <c:v>01.03.2021</c:v>
                </c:pt>
                <c:pt idx="60">
                  <c:v>01.02.2021</c:v>
                </c:pt>
                <c:pt idx="61">
                  <c:v>01.01.2021</c:v>
                </c:pt>
              </c:strCache>
            </c:strRef>
          </c:xVal>
          <c:yVal>
            <c:numRef>
              <c:f>'Statistics_RNWH&amp;FTSE100 '!$H$3:$H$64</c:f>
              <c:numCache>
                <c:formatCode>0.00%</c:formatCode>
                <c:ptCount val="62"/>
                <c:pt idx="0" formatCode="General">
                  <c:v>0</c:v>
                </c:pt>
                <c:pt idx="1">
                  <c:v>3.1399999999999997E-2</c:v>
                </c:pt>
                <c:pt idx="2">
                  <c:v>-4.5999999999999999E-2</c:v>
                </c:pt>
                <c:pt idx="3">
                  <c:v>8.6E-3</c:v>
                </c:pt>
                <c:pt idx="4">
                  <c:v>0.14319999999999999</c:v>
                </c:pt>
                <c:pt idx="5">
                  <c:v>1.12E-2</c:v>
                </c:pt>
                <c:pt idx="6">
                  <c:v>-4.9799999999999997E-2</c:v>
                </c:pt>
                <c:pt idx="7">
                  <c:v>-8.2000000000000007E-3</c:v>
                </c:pt>
                <c:pt idx="8">
                  <c:v>3.6600000000000001E-2</c:v>
                </c:pt>
                <c:pt idx="9">
                  <c:v>8.6099999999999996E-2</c:v>
                </c:pt>
                <c:pt idx="10">
                  <c:v>0.14050000000000001</c:v>
                </c:pt>
                <c:pt idx="11">
                  <c:v>4.5999999999999999E-3</c:v>
                </c:pt>
                <c:pt idx="12">
                  <c:v>-9.9699999999999997E-2</c:v>
                </c:pt>
                <c:pt idx="13">
                  <c:v>-0.19120000000000001</c:v>
                </c:pt>
                <c:pt idx="14">
                  <c:v>-0.1298</c:v>
                </c:pt>
                <c:pt idx="15">
                  <c:v>-4.9399999999999999E-2</c:v>
                </c:pt>
                <c:pt idx="16">
                  <c:v>3.9899999999999998E-2</c:v>
                </c:pt>
                <c:pt idx="17">
                  <c:v>-1.8700000000000001E-2</c:v>
                </c:pt>
                <c:pt idx="18">
                  <c:v>-1.29E-2</c:v>
                </c:pt>
                <c:pt idx="19">
                  <c:v>2.2599999999999999E-2</c:v>
                </c:pt>
                <c:pt idx="20">
                  <c:v>-5.5999999999999999E-3</c:v>
                </c:pt>
                <c:pt idx="21">
                  <c:v>0.13020000000000001</c:v>
                </c:pt>
                <c:pt idx="22">
                  <c:v>2.2700000000000001E-2</c:v>
                </c:pt>
                <c:pt idx="23">
                  <c:v>5.6000000000000001E-2</c:v>
                </c:pt>
                <c:pt idx="24">
                  <c:v>-5.7000000000000002E-3</c:v>
                </c:pt>
                <c:pt idx="25">
                  <c:v>2.4400000000000002E-2</c:v>
                </c:pt>
                <c:pt idx="26">
                  <c:v>2.0199999999999999E-2</c:v>
                </c:pt>
                <c:pt idx="27">
                  <c:v>0.17430000000000001</c:v>
                </c:pt>
                <c:pt idx="28">
                  <c:v>5.5999999999999999E-3</c:v>
                </c:pt>
                <c:pt idx="29">
                  <c:v>-7.0000000000000001E-3</c:v>
                </c:pt>
                <c:pt idx="30">
                  <c:v>-1.6400000000000001E-2</c:v>
                </c:pt>
                <c:pt idx="31">
                  <c:v>-1.8800000000000001E-2</c:v>
                </c:pt>
                <c:pt idx="32">
                  <c:v>4.0599999999999997E-2</c:v>
                </c:pt>
                <c:pt idx="33">
                  <c:v>-1.6500000000000001E-2</c:v>
                </c:pt>
                <c:pt idx="34">
                  <c:v>7.5399999999999995E-2</c:v>
                </c:pt>
                <c:pt idx="35">
                  <c:v>-5.1900000000000002E-2</c:v>
                </c:pt>
                <c:pt idx="36">
                  <c:v>-2.5999999999999999E-2</c:v>
                </c:pt>
                <c:pt idx="37">
                  <c:v>0</c:v>
                </c:pt>
                <c:pt idx="38">
                  <c:v>7.17E-2</c:v>
                </c:pt>
                <c:pt idx="39">
                  <c:v>0.1124</c:v>
                </c:pt>
                <c:pt idx="40">
                  <c:v>7.7200000000000005E-2</c:v>
                </c:pt>
                <c:pt idx="41">
                  <c:v>-0.1135</c:v>
                </c:pt>
                <c:pt idx="42">
                  <c:v>-0.1323</c:v>
                </c:pt>
                <c:pt idx="43">
                  <c:v>0.1578</c:v>
                </c:pt>
                <c:pt idx="44">
                  <c:v>-7.51E-2</c:v>
                </c:pt>
                <c:pt idx="45">
                  <c:v>-0.01</c:v>
                </c:pt>
                <c:pt idx="46">
                  <c:v>2.1899999999999999E-2</c:v>
                </c:pt>
                <c:pt idx="47">
                  <c:v>5.8999999999999999E-3</c:v>
                </c:pt>
                <c:pt idx="48">
                  <c:v>-5.5599999999999997E-2</c:v>
                </c:pt>
                <c:pt idx="49">
                  <c:v>-0.13769999999999999</c:v>
                </c:pt>
                <c:pt idx="50">
                  <c:v>3.9899999999999998E-2</c:v>
                </c:pt>
                <c:pt idx="51">
                  <c:v>5.2400000000000002E-2</c:v>
                </c:pt>
                <c:pt idx="52">
                  <c:v>-3.4200000000000001E-2</c:v>
                </c:pt>
                <c:pt idx="53">
                  <c:v>0.03</c:v>
                </c:pt>
                <c:pt idx="54">
                  <c:v>2.8199999999999999E-2</c:v>
                </c:pt>
                <c:pt idx="55">
                  <c:v>0.1052</c:v>
                </c:pt>
                <c:pt idx="56">
                  <c:v>6.13E-2</c:v>
                </c:pt>
                <c:pt idx="57">
                  <c:v>1.7600000000000001E-2</c:v>
                </c:pt>
                <c:pt idx="58">
                  <c:v>0.1082</c:v>
                </c:pt>
                <c:pt idx="59">
                  <c:v>0.1235</c:v>
                </c:pt>
                <c:pt idx="60">
                  <c:v>-4.2000000000000003E-2</c:v>
                </c:pt>
                <c:pt idx="61">
                  <c:v>-6.4299999999999996E-2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BC-0847-8E60-1CB56B0FC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420543"/>
        <c:axId val="1304348415"/>
      </c:scatterChart>
      <c:valAx>
        <c:axId val="141142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304348415"/>
        <c:crosses val="autoZero"/>
        <c:crossBetween val="midCat"/>
      </c:valAx>
      <c:valAx>
        <c:axId val="130434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411420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'Statistics_RNWH&amp;FTSE100 '!$H$1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'Statistics_RNWH&amp;FTSE100 '!$B$3:$B$64</c:f>
              <c:strCache>
                <c:ptCount val="62"/>
                <c:pt idx="0">
                  <c:v>Date</c:v>
                </c:pt>
                <c:pt idx="1">
                  <c:v>01.01.2026</c:v>
                </c:pt>
                <c:pt idx="2">
                  <c:v>01.12.2025</c:v>
                </c:pt>
                <c:pt idx="3">
                  <c:v>01.11.2025</c:v>
                </c:pt>
                <c:pt idx="4">
                  <c:v>01.10.2025</c:v>
                </c:pt>
                <c:pt idx="5">
                  <c:v>01.09.2025</c:v>
                </c:pt>
                <c:pt idx="6">
                  <c:v>01.08.2025</c:v>
                </c:pt>
                <c:pt idx="7">
                  <c:v>01.07.2025</c:v>
                </c:pt>
                <c:pt idx="8">
                  <c:v>01.06.2025</c:v>
                </c:pt>
                <c:pt idx="9">
                  <c:v>01.05.2025</c:v>
                </c:pt>
                <c:pt idx="10">
                  <c:v>01.04.2025</c:v>
                </c:pt>
                <c:pt idx="11">
                  <c:v>01.03.2025</c:v>
                </c:pt>
                <c:pt idx="12">
                  <c:v>01.02.2025</c:v>
                </c:pt>
                <c:pt idx="13">
                  <c:v>01.01.2025</c:v>
                </c:pt>
                <c:pt idx="14">
                  <c:v>01.12.2024</c:v>
                </c:pt>
                <c:pt idx="15">
                  <c:v>01.11.2024</c:v>
                </c:pt>
                <c:pt idx="16">
                  <c:v>01.10.2024</c:v>
                </c:pt>
                <c:pt idx="17">
                  <c:v>01.09.2024</c:v>
                </c:pt>
                <c:pt idx="18">
                  <c:v>01.08.2024</c:v>
                </c:pt>
                <c:pt idx="19">
                  <c:v>01.07.2024</c:v>
                </c:pt>
                <c:pt idx="20">
                  <c:v>01.06.2024</c:v>
                </c:pt>
                <c:pt idx="21">
                  <c:v>01.05.2024</c:v>
                </c:pt>
                <c:pt idx="22">
                  <c:v>01.04.2024</c:v>
                </c:pt>
                <c:pt idx="23">
                  <c:v>01.03.2024</c:v>
                </c:pt>
                <c:pt idx="24">
                  <c:v>01.02.2024</c:v>
                </c:pt>
                <c:pt idx="25">
                  <c:v>01.01.2024</c:v>
                </c:pt>
                <c:pt idx="26">
                  <c:v>01.12.2023</c:v>
                </c:pt>
                <c:pt idx="27">
                  <c:v>01.11.2023</c:v>
                </c:pt>
                <c:pt idx="28">
                  <c:v>01.10.2023</c:v>
                </c:pt>
                <c:pt idx="29">
                  <c:v>01.09.2023</c:v>
                </c:pt>
                <c:pt idx="30">
                  <c:v>01.08.2023</c:v>
                </c:pt>
                <c:pt idx="31">
                  <c:v>01.07.2023</c:v>
                </c:pt>
                <c:pt idx="32">
                  <c:v>01.06.2023</c:v>
                </c:pt>
                <c:pt idx="33">
                  <c:v>01.05.2023</c:v>
                </c:pt>
                <c:pt idx="34">
                  <c:v>01.04.2023</c:v>
                </c:pt>
                <c:pt idx="35">
                  <c:v>01.03.2023</c:v>
                </c:pt>
                <c:pt idx="36">
                  <c:v>01.02.2023</c:v>
                </c:pt>
                <c:pt idx="37">
                  <c:v>01.01.2023</c:v>
                </c:pt>
                <c:pt idx="38">
                  <c:v>01.12.2022</c:v>
                </c:pt>
                <c:pt idx="39">
                  <c:v>01.11.2022</c:v>
                </c:pt>
                <c:pt idx="40">
                  <c:v>01.10.2022</c:v>
                </c:pt>
                <c:pt idx="41">
                  <c:v>01.09.2022</c:v>
                </c:pt>
                <c:pt idx="42">
                  <c:v>01.08.2022</c:v>
                </c:pt>
                <c:pt idx="43">
                  <c:v>01.07.2022</c:v>
                </c:pt>
                <c:pt idx="44">
                  <c:v>01.06.2022</c:v>
                </c:pt>
                <c:pt idx="45">
                  <c:v>01.05.2022</c:v>
                </c:pt>
                <c:pt idx="46">
                  <c:v>01.04.2022</c:v>
                </c:pt>
                <c:pt idx="47">
                  <c:v>01.03.2022</c:v>
                </c:pt>
                <c:pt idx="48">
                  <c:v>01.02.2022</c:v>
                </c:pt>
                <c:pt idx="49">
                  <c:v>01.01.2022</c:v>
                </c:pt>
                <c:pt idx="50">
                  <c:v>01.12.2021</c:v>
                </c:pt>
                <c:pt idx="51">
                  <c:v>01.11.2021</c:v>
                </c:pt>
                <c:pt idx="52">
                  <c:v>01.10.2021</c:v>
                </c:pt>
                <c:pt idx="53">
                  <c:v>01.09.2021</c:v>
                </c:pt>
                <c:pt idx="54">
                  <c:v>01.08.2021</c:v>
                </c:pt>
                <c:pt idx="55">
                  <c:v>01.07.2021</c:v>
                </c:pt>
                <c:pt idx="56">
                  <c:v>01.06.2021</c:v>
                </c:pt>
                <c:pt idx="57">
                  <c:v>01.05.2021</c:v>
                </c:pt>
                <c:pt idx="58">
                  <c:v>01.04.2021</c:v>
                </c:pt>
                <c:pt idx="59">
                  <c:v>01.03.2021</c:v>
                </c:pt>
                <c:pt idx="60">
                  <c:v>01.02.2021</c:v>
                </c:pt>
                <c:pt idx="61">
                  <c:v>01.01.2021</c:v>
                </c:pt>
              </c:strCache>
            </c:strRef>
          </c:cat>
          <c:val>
            <c:numRef>
              <c:f>'Statistics_RNWH&amp;FTSE100 '!$H$3:$H$64</c:f>
              <c:numCache>
                <c:formatCode>0.00%</c:formatCode>
                <c:ptCount val="62"/>
                <c:pt idx="0" formatCode="General">
                  <c:v>0</c:v>
                </c:pt>
                <c:pt idx="1">
                  <c:v>3.1399999999999997E-2</c:v>
                </c:pt>
                <c:pt idx="2">
                  <c:v>-4.5999999999999999E-2</c:v>
                </c:pt>
                <c:pt idx="3">
                  <c:v>8.6E-3</c:v>
                </c:pt>
                <c:pt idx="4">
                  <c:v>0.14319999999999999</c:v>
                </c:pt>
                <c:pt idx="5">
                  <c:v>1.12E-2</c:v>
                </c:pt>
                <c:pt idx="6">
                  <c:v>-4.9799999999999997E-2</c:v>
                </c:pt>
                <c:pt idx="7">
                  <c:v>-8.2000000000000007E-3</c:v>
                </c:pt>
                <c:pt idx="8">
                  <c:v>3.6600000000000001E-2</c:v>
                </c:pt>
                <c:pt idx="9">
                  <c:v>8.6099999999999996E-2</c:v>
                </c:pt>
                <c:pt idx="10">
                  <c:v>0.14050000000000001</c:v>
                </c:pt>
                <c:pt idx="11">
                  <c:v>4.5999999999999999E-3</c:v>
                </c:pt>
                <c:pt idx="12">
                  <c:v>-9.9699999999999997E-2</c:v>
                </c:pt>
                <c:pt idx="13">
                  <c:v>-0.19120000000000001</c:v>
                </c:pt>
                <c:pt idx="14">
                  <c:v>-0.1298</c:v>
                </c:pt>
                <c:pt idx="15">
                  <c:v>-4.9399999999999999E-2</c:v>
                </c:pt>
                <c:pt idx="16">
                  <c:v>3.9899999999999998E-2</c:v>
                </c:pt>
                <c:pt idx="17">
                  <c:v>-1.8700000000000001E-2</c:v>
                </c:pt>
                <c:pt idx="18">
                  <c:v>-1.29E-2</c:v>
                </c:pt>
                <c:pt idx="19">
                  <c:v>2.2599999999999999E-2</c:v>
                </c:pt>
                <c:pt idx="20">
                  <c:v>-5.5999999999999999E-3</c:v>
                </c:pt>
                <c:pt idx="21">
                  <c:v>0.13020000000000001</c:v>
                </c:pt>
                <c:pt idx="22">
                  <c:v>2.2700000000000001E-2</c:v>
                </c:pt>
                <c:pt idx="23">
                  <c:v>5.6000000000000001E-2</c:v>
                </c:pt>
                <c:pt idx="24">
                  <c:v>-5.7000000000000002E-3</c:v>
                </c:pt>
                <c:pt idx="25">
                  <c:v>2.4400000000000002E-2</c:v>
                </c:pt>
                <c:pt idx="26">
                  <c:v>2.0199999999999999E-2</c:v>
                </c:pt>
                <c:pt idx="27">
                  <c:v>0.17430000000000001</c:v>
                </c:pt>
                <c:pt idx="28">
                  <c:v>5.5999999999999999E-3</c:v>
                </c:pt>
                <c:pt idx="29">
                  <c:v>-7.0000000000000001E-3</c:v>
                </c:pt>
                <c:pt idx="30">
                  <c:v>-1.6400000000000001E-2</c:v>
                </c:pt>
                <c:pt idx="31">
                  <c:v>-1.8800000000000001E-2</c:v>
                </c:pt>
                <c:pt idx="32">
                  <c:v>4.0599999999999997E-2</c:v>
                </c:pt>
                <c:pt idx="33">
                  <c:v>-1.6500000000000001E-2</c:v>
                </c:pt>
                <c:pt idx="34">
                  <c:v>7.5399999999999995E-2</c:v>
                </c:pt>
                <c:pt idx="35">
                  <c:v>-5.1900000000000002E-2</c:v>
                </c:pt>
                <c:pt idx="36">
                  <c:v>-2.5999999999999999E-2</c:v>
                </c:pt>
                <c:pt idx="37">
                  <c:v>0</c:v>
                </c:pt>
                <c:pt idx="38">
                  <c:v>7.17E-2</c:v>
                </c:pt>
                <c:pt idx="39">
                  <c:v>0.1124</c:v>
                </c:pt>
                <c:pt idx="40">
                  <c:v>7.7200000000000005E-2</c:v>
                </c:pt>
                <c:pt idx="41">
                  <c:v>-0.1135</c:v>
                </c:pt>
                <c:pt idx="42">
                  <c:v>-0.1323</c:v>
                </c:pt>
                <c:pt idx="43">
                  <c:v>0.1578</c:v>
                </c:pt>
                <c:pt idx="44">
                  <c:v>-7.51E-2</c:v>
                </c:pt>
                <c:pt idx="45">
                  <c:v>-0.01</c:v>
                </c:pt>
                <c:pt idx="46">
                  <c:v>2.1899999999999999E-2</c:v>
                </c:pt>
                <c:pt idx="47">
                  <c:v>5.8999999999999999E-3</c:v>
                </c:pt>
                <c:pt idx="48">
                  <c:v>-5.5599999999999997E-2</c:v>
                </c:pt>
                <c:pt idx="49">
                  <c:v>-0.13769999999999999</c:v>
                </c:pt>
                <c:pt idx="50">
                  <c:v>3.9899999999999998E-2</c:v>
                </c:pt>
                <c:pt idx="51">
                  <c:v>5.2400000000000002E-2</c:v>
                </c:pt>
                <c:pt idx="52">
                  <c:v>-3.4200000000000001E-2</c:v>
                </c:pt>
                <c:pt idx="53">
                  <c:v>0.03</c:v>
                </c:pt>
                <c:pt idx="54">
                  <c:v>2.8199999999999999E-2</c:v>
                </c:pt>
                <c:pt idx="55">
                  <c:v>0.1052</c:v>
                </c:pt>
                <c:pt idx="56">
                  <c:v>6.13E-2</c:v>
                </c:pt>
                <c:pt idx="57">
                  <c:v>1.7600000000000001E-2</c:v>
                </c:pt>
                <c:pt idx="58">
                  <c:v>0.1082</c:v>
                </c:pt>
                <c:pt idx="59">
                  <c:v>0.1235</c:v>
                </c:pt>
                <c:pt idx="60">
                  <c:v>-4.2000000000000003E-2</c:v>
                </c:pt>
                <c:pt idx="61">
                  <c:v>-6.4299999999999996E-2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39-FF4F-BEB3-755602EEF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241471"/>
        <c:axId val="1409241919"/>
      </c:lineChart>
      <c:catAx>
        <c:axId val="140924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409241919"/>
        <c:crosses val="autoZero"/>
        <c:auto val="1"/>
        <c:lblAlgn val="ctr"/>
        <c:lblOffset val="100"/>
        <c:noMultiLvlLbl val="0"/>
      </c:catAx>
      <c:valAx>
        <c:axId val="140924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40924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'Statistics_RNWH&amp;FTSE100 '!$C$3</c:f>
              <c:strCache>
                <c:ptCount val="1"/>
                <c:pt idx="0">
                  <c:v>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'Statistics_RNWH&amp;FTSE100 '!$B$4:$B$88</c:f>
              <c:numCache>
                <c:formatCode>m/d/yy</c:formatCode>
                <c:ptCount val="85"/>
                <c:pt idx="0">
                  <c:v>46023</c:v>
                </c:pt>
                <c:pt idx="1">
                  <c:v>45992</c:v>
                </c:pt>
                <c:pt idx="2">
                  <c:v>45962</c:v>
                </c:pt>
                <c:pt idx="3">
                  <c:v>45931</c:v>
                </c:pt>
                <c:pt idx="4">
                  <c:v>45901</c:v>
                </c:pt>
                <c:pt idx="5">
                  <c:v>45870</c:v>
                </c:pt>
                <c:pt idx="6">
                  <c:v>45839</c:v>
                </c:pt>
                <c:pt idx="7">
                  <c:v>45809</c:v>
                </c:pt>
                <c:pt idx="8">
                  <c:v>45778</c:v>
                </c:pt>
                <c:pt idx="9">
                  <c:v>45748</c:v>
                </c:pt>
                <c:pt idx="10">
                  <c:v>45717</c:v>
                </c:pt>
                <c:pt idx="11">
                  <c:v>45689</c:v>
                </c:pt>
                <c:pt idx="12">
                  <c:v>45658</c:v>
                </c:pt>
                <c:pt idx="13">
                  <c:v>45627</c:v>
                </c:pt>
                <c:pt idx="14">
                  <c:v>45597</c:v>
                </c:pt>
                <c:pt idx="15">
                  <c:v>45566</c:v>
                </c:pt>
                <c:pt idx="16">
                  <c:v>45536</c:v>
                </c:pt>
                <c:pt idx="17">
                  <c:v>45505</c:v>
                </c:pt>
                <c:pt idx="18">
                  <c:v>45474</c:v>
                </c:pt>
                <c:pt idx="19">
                  <c:v>45444</c:v>
                </c:pt>
                <c:pt idx="20">
                  <c:v>45413</c:v>
                </c:pt>
                <c:pt idx="21">
                  <c:v>45383</c:v>
                </c:pt>
                <c:pt idx="22">
                  <c:v>45352</c:v>
                </c:pt>
                <c:pt idx="23">
                  <c:v>45323</c:v>
                </c:pt>
                <c:pt idx="24">
                  <c:v>45292</c:v>
                </c:pt>
                <c:pt idx="25">
                  <c:v>45261</c:v>
                </c:pt>
                <c:pt idx="26">
                  <c:v>45231</c:v>
                </c:pt>
                <c:pt idx="27">
                  <c:v>45200</c:v>
                </c:pt>
                <c:pt idx="28">
                  <c:v>45170</c:v>
                </c:pt>
                <c:pt idx="29">
                  <c:v>45139</c:v>
                </c:pt>
                <c:pt idx="30">
                  <c:v>45108</c:v>
                </c:pt>
                <c:pt idx="31">
                  <c:v>45078</c:v>
                </c:pt>
                <c:pt idx="32">
                  <c:v>45047</c:v>
                </c:pt>
                <c:pt idx="33">
                  <c:v>45017</c:v>
                </c:pt>
                <c:pt idx="34">
                  <c:v>44986</c:v>
                </c:pt>
                <c:pt idx="35">
                  <c:v>44958</c:v>
                </c:pt>
                <c:pt idx="36">
                  <c:v>44927</c:v>
                </c:pt>
                <c:pt idx="37">
                  <c:v>44896</c:v>
                </c:pt>
                <c:pt idx="38">
                  <c:v>44866</c:v>
                </c:pt>
                <c:pt idx="39">
                  <c:v>44835</c:v>
                </c:pt>
                <c:pt idx="40">
                  <c:v>44805</c:v>
                </c:pt>
                <c:pt idx="41">
                  <c:v>44774</c:v>
                </c:pt>
                <c:pt idx="42">
                  <c:v>44743</c:v>
                </c:pt>
                <c:pt idx="43">
                  <c:v>44713</c:v>
                </c:pt>
                <c:pt idx="44">
                  <c:v>44682</c:v>
                </c:pt>
                <c:pt idx="45">
                  <c:v>44652</c:v>
                </c:pt>
                <c:pt idx="46">
                  <c:v>44621</c:v>
                </c:pt>
                <c:pt idx="47">
                  <c:v>44593</c:v>
                </c:pt>
                <c:pt idx="48">
                  <c:v>44562</c:v>
                </c:pt>
                <c:pt idx="49">
                  <c:v>44531</c:v>
                </c:pt>
                <c:pt idx="50">
                  <c:v>44501</c:v>
                </c:pt>
                <c:pt idx="51">
                  <c:v>44470</c:v>
                </c:pt>
                <c:pt idx="52">
                  <c:v>44440</c:v>
                </c:pt>
                <c:pt idx="53">
                  <c:v>44409</c:v>
                </c:pt>
                <c:pt idx="54">
                  <c:v>44378</c:v>
                </c:pt>
                <c:pt idx="55">
                  <c:v>44348</c:v>
                </c:pt>
                <c:pt idx="56">
                  <c:v>44317</c:v>
                </c:pt>
                <c:pt idx="57">
                  <c:v>44287</c:v>
                </c:pt>
                <c:pt idx="58">
                  <c:v>44256</c:v>
                </c:pt>
                <c:pt idx="59">
                  <c:v>44228</c:v>
                </c:pt>
                <c:pt idx="60">
                  <c:v>44197</c:v>
                </c:pt>
                <c:pt idx="61">
                  <c:v>44166</c:v>
                </c:pt>
                <c:pt idx="62">
                  <c:v>44136</c:v>
                </c:pt>
                <c:pt idx="63">
                  <c:v>44105</c:v>
                </c:pt>
                <c:pt idx="64">
                  <c:v>44075</c:v>
                </c:pt>
                <c:pt idx="65">
                  <c:v>44044</c:v>
                </c:pt>
                <c:pt idx="66">
                  <c:v>44013</c:v>
                </c:pt>
                <c:pt idx="67">
                  <c:v>43983</c:v>
                </c:pt>
                <c:pt idx="68">
                  <c:v>43952</c:v>
                </c:pt>
                <c:pt idx="69">
                  <c:v>43922</c:v>
                </c:pt>
                <c:pt idx="70">
                  <c:v>43891</c:v>
                </c:pt>
                <c:pt idx="71">
                  <c:v>43862</c:v>
                </c:pt>
                <c:pt idx="72">
                  <c:v>43831</c:v>
                </c:pt>
                <c:pt idx="73">
                  <c:v>43800</c:v>
                </c:pt>
                <c:pt idx="74">
                  <c:v>43770</c:v>
                </c:pt>
                <c:pt idx="75">
                  <c:v>43739</c:v>
                </c:pt>
                <c:pt idx="76">
                  <c:v>43709</c:v>
                </c:pt>
                <c:pt idx="77">
                  <c:v>43678</c:v>
                </c:pt>
                <c:pt idx="78">
                  <c:v>43647</c:v>
                </c:pt>
                <c:pt idx="79">
                  <c:v>43617</c:v>
                </c:pt>
                <c:pt idx="80">
                  <c:v>43586</c:v>
                </c:pt>
                <c:pt idx="81">
                  <c:v>43556</c:v>
                </c:pt>
                <c:pt idx="82">
                  <c:v>43525</c:v>
                </c:pt>
                <c:pt idx="83">
                  <c:v>43497</c:v>
                </c:pt>
                <c:pt idx="84">
                  <c:v>43466</c:v>
                </c:pt>
              </c:numCache>
            </c:numRef>
          </c:xVal>
          <c:yVal>
            <c:numRef>
              <c:f>'Statistics_RNWH&amp;FTSE100 '!$C$4:$C$88</c:f>
              <c:numCache>
                <c:formatCode>General</c:formatCode>
                <c:ptCount val="85"/>
                <c:pt idx="0">
                  <c:v>919</c:v>
                </c:pt>
                <c:pt idx="1">
                  <c:v>891</c:v>
                </c:pt>
                <c:pt idx="2">
                  <c:v>934</c:v>
                </c:pt>
                <c:pt idx="3">
                  <c:v>926</c:v>
                </c:pt>
                <c:pt idx="4">
                  <c:v>810</c:v>
                </c:pt>
                <c:pt idx="5">
                  <c:v>801</c:v>
                </c:pt>
                <c:pt idx="6">
                  <c:v>843</c:v>
                </c:pt>
                <c:pt idx="7">
                  <c:v>850</c:v>
                </c:pt>
                <c:pt idx="8">
                  <c:v>820</c:v>
                </c:pt>
                <c:pt idx="9">
                  <c:v>755</c:v>
                </c:pt>
                <c:pt idx="10">
                  <c:v>662</c:v>
                </c:pt>
                <c:pt idx="11">
                  <c:v>659</c:v>
                </c:pt>
                <c:pt idx="12">
                  <c:v>732</c:v>
                </c:pt>
                <c:pt idx="13">
                  <c:v>905</c:v>
                </c:pt>
                <c:pt idx="14" formatCode="#,##0.00">
                  <c:v>1040</c:v>
                </c:pt>
                <c:pt idx="15" formatCode="#,##0.00">
                  <c:v>1094</c:v>
                </c:pt>
                <c:pt idx="16" formatCode="#,##0.00">
                  <c:v>1052</c:v>
                </c:pt>
                <c:pt idx="17" formatCode="#,##0.00">
                  <c:v>1072</c:v>
                </c:pt>
                <c:pt idx="18" formatCode="#,##0.00">
                  <c:v>1086</c:v>
                </c:pt>
                <c:pt idx="19" formatCode="#,##0.00">
                  <c:v>1062</c:v>
                </c:pt>
                <c:pt idx="20" formatCode="#,##0.00">
                  <c:v>1068</c:v>
                </c:pt>
                <c:pt idx="21">
                  <c:v>945</c:v>
                </c:pt>
                <c:pt idx="22">
                  <c:v>924</c:v>
                </c:pt>
                <c:pt idx="23">
                  <c:v>875</c:v>
                </c:pt>
                <c:pt idx="24">
                  <c:v>880</c:v>
                </c:pt>
                <c:pt idx="25">
                  <c:v>859</c:v>
                </c:pt>
                <c:pt idx="26">
                  <c:v>842</c:v>
                </c:pt>
                <c:pt idx="27">
                  <c:v>717</c:v>
                </c:pt>
                <c:pt idx="28">
                  <c:v>713</c:v>
                </c:pt>
                <c:pt idx="29">
                  <c:v>718</c:v>
                </c:pt>
                <c:pt idx="30">
                  <c:v>730</c:v>
                </c:pt>
                <c:pt idx="31">
                  <c:v>744</c:v>
                </c:pt>
                <c:pt idx="32">
                  <c:v>715</c:v>
                </c:pt>
                <c:pt idx="33">
                  <c:v>727</c:v>
                </c:pt>
                <c:pt idx="34">
                  <c:v>676</c:v>
                </c:pt>
                <c:pt idx="35">
                  <c:v>713</c:v>
                </c:pt>
                <c:pt idx="36">
                  <c:v>732</c:v>
                </c:pt>
                <c:pt idx="37">
                  <c:v>732</c:v>
                </c:pt>
                <c:pt idx="38">
                  <c:v>683</c:v>
                </c:pt>
                <c:pt idx="39">
                  <c:v>614</c:v>
                </c:pt>
                <c:pt idx="40">
                  <c:v>570</c:v>
                </c:pt>
                <c:pt idx="41">
                  <c:v>643</c:v>
                </c:pt>
                <c:pt idx="42">
                  <c:v>741</c:v>
                </c:pt>
                <c:pt idx="43">
                  <c:v>640</c:v>
                </c:pt>
                <c:pt idx="44">
                  <c:v>692</c:v>
                </c:pt>
                <c:pt idx="45">
                  <c:v>699</c:v>
                </c:pt>
                <c:pt idx="46">
                  <c:v>684</c:v>
                </c:pt>
                <c:pt idx="47">
                  <c:v>680</c:v>
                </c:pt>
                <c:pt idx="48">
                  <c:v>720</c:v>
                </c:pt>
                <c:pt idx="49">
                  <c:v>835</c:v>
                </c:pt>
                <c:pt idx="50">
                  <c:v>803</c:v>
                </c:pt>
                <c:pt idx="51">
                  <c:v>763</c:v>
                </c:pt>
                <c:pt idx="52">
                  <c:v>790</c:v>
                </c:pt>
                <c:pt idx="53">
                  <c:v>767</c:v>
                </c:pt>
                <c:pt idx="54">
                  <c:v>746</c:v>
                </c:pt>
                <c:pt idx="55">
                  <c:v>675</c:v>
                </c:pt>
                <c:pt idx="56">
                  <c:v>636</c:v>
                </c:pt>
                <c:pt idx="57">
                  <c:v>625</c:v>
                </c:pt>
                <c:pt idx="58">
                  <c:v>564</c:v>
                </c:pt>
                <c:pt idx="59">
                  <c:v>502</c:v>
                </c:pt>
                <c:pt idx="60">
                  <c:v>524</c:v>
                </c:pt>
                <c:pt idx="61">
                  <c:v>560</c:v>
                </c:pt>
                <c:pt idx="62">
                  <c:v>495</c:v>
                </c:pt>
                <c:pt idx="63">
                  <c:v>435</c:v>
                </c:pt>
                <c:pt idx="64">
                  <c:v>455</c:v>
                </c:pt>
                <c:pt idx="65">
                  <c:v>423</c:v>
                </c:pt>
                <c:pt idx="66">
                  <c:v>436</c:v>
                </c:pt>
                <c:pt idx="67">
                  <c:v>443</c:v>
                </c:pt>
                <c:pt idx="68">
                  <c:v>463</c:v>
                </c:pt>
                <c:pt idx="69">
                  <c:v>452</c:v>
                </c:pt>
                <c:pt idx="70">
                  <c:v>376</c:v>
                </c:pt>
                <c:pt idx="71">
                  <c:v>494</c:v>
                </c:pt>
                <c:pt idx="72">
                  <c:v>500</c:v>
                </c:pt>
                <c:pt idx="73">
                  <c:v>546</c:v>
                </c:pt>
                <c:pt idx="74">
                  <c:v>390</c:v>
                </c:pt>
                <c:pt idx="75">
                  <c:v>383</c:v>
                </c:pt>
                <c:pt idx="76">
                  <c:v>385</c:v>
                </c:pt>
                <c:pt idx="77">
                  <c:v>386.5</c:v>
                </c:pt>
                <c:pt idx="78">
                  <c:v>400</c:v>
                </c:pt>
                <c:pt idx="79">
                  <c:v>415</c:v>
                </c:pt>
                <c:pt idx="80">
                  <c:v>430</c:v>
                </c:pt>
                <c:pt idx="81">
                  <c:v>390.5</c:v>
                </c:pt>
                <c:pt idx="82">
                  <c:v>402</c:v>
                </c:pt>
                <c:pt idx="83">
                  <c:v>377</c:v>
                </c:pt>
                <c:pt idx="84">
                  <c:v>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46-C049-81D4-3B77F9FDFE5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'Statistics_RNWH&amp;FTSE100 '!$K$4:$K$88</c:f>
              <c:numCache>
                <c:formatCode>#,##0.00</c:formatCode>
                <c:ptCount val="85"/>
                <c:pt idx="0">
                  <c:v>10223.540000000001</c:v>
                </c:pt>
                <c:pt idx="1">
                  <c:v>9931.3799999999992</c:v>
                </c:pt>
                <c:pt idx="2">
                  <c:v>9720.51</c:v>
                </c:pt>
                <c:pt idx="3">
                  <c:v>9717.25</c:v>
                </c:pt>
                <c:pt idx="4">
                  <c:v>9350.43</c:v>
                </c:pt>
                <c:pt idx="5">
                  <c:v>9187.34</c:v>
                </c:pt>
                <c:pt idx="6">
                  <c:v>9132.81</c:v>
                </c:pt>
                <c:pt idx="7">
                  <c:v>8760.9599999999991</c:v>
                </c:pt>
                <c:pt idx="8">
                  <c:v>8772.3799999999992</c:v>
                </c:pt>
                <c:pt idx="9">
                  <c:v>8494.85</c:v>
                </c:pt>
                <c:pt idx="10">
                  <c:v>8582.81</c:v>
                </c:pt>
                <c:pt idx="11">
                  <c:v>8809.74</c:v>
                </c:pt>
                <c:pt idx="12">
                  <c:v>8673.9599999999991</c:v>
                </c:pt>
                <c:pt idx="13">
                  <c:v>8173.02</c:v>
                </c:pt>
                <c:pt idx="14">
                  <c:v>8287.2999999999993</c:v>
                </c:pt>
                <c:pt idx="15">
                  <c:v>8110.1</c:v>
                </c:pt>
                <c:pt idx="16">
                  <c:v>8236.9500000000007</c:v>
                </c:pt>
                <c:pt idx="17">
                  <c:v>8376.6299999999992</c:v>
                </c:pt>
                <c:pt idx="18">
                  <c:v>8367.98</c:v>
                </c:pt>
                <c:pt idx="19">
                  <c:v>8164.12</c:v>
                </c:pt>
                <c:pt idx="20">
                  <c:v>8275.3799999999992</c:v>
                </c:pt>
                <c:pt idx="21">
                  <c:v>8144.13</c:v>
                </c:pt>
                <c:pt idx="22">
                  <c:v>7952.62</c:v>
                </c:pt>
                <c:pt idx="23">
                  <c:v>7630.02</c:v>
                </c:pt>
                <c:pt idx="24">
                  <c:v>7630.57</c:v>
                </c:pt>
                <c:pt idx="25">
                  <c:v>7733.24</c:v>
                </c:pt>
                <c:pt idx="26">
                  <c:v>7453.75</c:v>
                </c:pt>
                <c:pt idx="27">
                  <c:v>7321.72</c:v>
                </c:pt>
                <c:pt idx="28">
                  <c:v>7608.08</c:v>
                </c:pt>
                <c:pt idx="29">
                  <c:v>7439.13</c:v>
                </c:pt>
                <c:pt idx="30">
                  <c:v>7699.41</c:v>
                </c:pt>
                <c:pt idx="31">
                  <c:v>7531.53</c:v>
                </c:pt>
                <c:pt idx="32">
                  <c:v>7446.14</c:v>
                </c:pt>
                <c:pt idx="33">
                  <c:v>7870.57</c:v>
                </c:pt>
                <c:pt idx="34">
                  <c:v>7631.74</c:v>
                </c:pt>
                <c:pt idx="35">
                  <c:v>7876.28</c:v>
                </c:pt>
                <c:pt idx="36">
                  <c:v>7771.7</c:v>
                </c:pt>
                <c:pt idx="37">
                  <c:v>7451.74</c:v>
                </c:pt>
                <c:pt idx="38">
                  <c:v>7573.05</c:v>
                </c:pt>
                <c:pt idx="39">
                  <c:v>7094.53</c:v>
                </c:pt>
                <c:pt idx="40">
                  <c:v>6893.81</c:v>
                </c:pt>
                <c:pt idx="41">
                  <c:v>7284.15</c:v>
                </c:pt>
                <c:pt idx="42">
                  <c:v>7423.43</c:v>
                </c:pt>
                <c:pt idx="43">
                  <c:v>7169.28</c:v>
                </c:pt>
                <c:pt idx="44">
                  <c:v>7607.66</c:v>
                </c:pt>
                <c:pt idx="45">
                  <c:v>7544.55</c:v>
                </c:pt>
                <c:pt idx="46">
                  <c:v>7515.68</c:v>
                </c:pt>
                <c:pt idx="47">
                  <c:v>7458.25</c:v>
                </c:pt>
                <c:pt idx="48">
                  <c:v>7464.37</c:v>
                </c:pt>
                <c:pt idx="49">
                  <c:v>7384.54</c:v>
                </c:pt>
                <c:pt idx="50">
                  <c:v>7059.45</c:v>
                </c:pt>
                <c:pt idx="51">
                  <c:v>7237.57</c:v>
                </c:pt>
                <c:pt idx="52">
                  <c:v>7086.42</c:v>
                </c:pt>
                <c:pt idx="53">
                  <c:v>7119.7</c:v>
                </c:pt>
                <c:pt idx="54">
                  <c:v>7032.3</c:v>
                </c:pt>
                <c:pt idx="55">
                  <c:v>7037.47</c:v>
                </c:pt>
                <c:pt idx="56">
                  <c:v>7022.61</c:v>
                </c:pt>
                <c:pt idx="57">
                  <c:v>6969.81</c:v>
                </c:pt>
                <c:pt idx="58">
                  <c:v>6713.63</c:v>
                </c:pt>
                <c:pt idx="59">
                  <c:v>6483.43</c:v>
                </c:pt>
                <c:pt idx="60">
                  <c:v>6407.46</c:v>
                </c:pt>
                <c:pt idx="61">
                  <c:v>6460.52</c:v>
                </c:pt>
                <c:pt idx="62">
                  <c:v>6266.19</c:v>
                </c:pt>
                <c:pt idx="63">
                  <c:v>5577.27</c:v>
                </c:pt>
                <c:pt idx="64">
                  <c:v>5866.1</c:v>
                </c:pt>
                <c:pt idx="65">
                  <c:v>5963.57</c:v>
                </c:pt>
                <c:pt idx="66">
                  <c:v>5897.76</c:v>
                </c:pt>
                <c:pt idx="67">
                  <c:v>6169.74</c:v>
                </c:pt>
                <c:pt idx="68">
                  <c:v>6076.6</c:v>
                </c:pt>
                <c:pt idx="69">
                  <c:v>5901.21</c:v>
                </c:pt>
                <c:pt idx="70">
                  <c:v>5671.96</c:v>
                </c:pt>
                <c:pt idx="71">
                  <c:v>6580.61</c:v>
                </c:pt>
                <c:pt idx="72">
                  <c:v>7286.01</c:v>
                </c:pt>
                <c:pt idx="73">
                  <c:v>7542.44</c:v>
                </c:pt>
                <c:pt idx="74">
                  <c:v>7346.53</c:v>
                </c:pt>
                <c:pt idx="75">
                  <c:v>7248.38</c:v>
                </c:pt>
                <c:pt idx="76">
                  <c:v>7408.21</c:v>
                </c:pt>
                <c:pt idx="77">
                  <c:v>7207.18</c:v>
                </c:pt>
                <c:pt idx="78">
                  <c:v>7586.78</c:v>
                </c:pt>
                <c:pt idx="79">
                  <c:v>7425.63</c:v>
                </c:pt>
                <c:pt idx="80">
                  <c:v>7161.71</c:v>
                </c:pt>
                <c:pt idx="81">
                  <c:v>7418.22</c:v>
                </c:pt>
                <c:pt idx="82">
                  <c:v>7279.19</c:v>
                </c:pt>
                <c:pt idx="83">
                  <c:v>7074.73</c:v>
                </c:pt>
                <c:pt idx="84">
                  <c:v>6968.85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13-E1E7-1342-A80C-D36DD0FFB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634239"/>
        <c:axId val="1077624831"/>
      </c:scatterChart>
      <c:valAx>
        <c:axId val="1077634239"/>
        <c:scaling>
          <c:orientation val="minMax"/>
          <c:max val="46023"/>
          <c:min val="4346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077624831"/>
        <c:crosses val="autoZero"/>
        <c:crossBetween val="midCat"/>
        <c:majorUnit val="300"/>
      </c:valAx>
      <c:valAx>
        <c:axId val="1077624831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077634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17762</xdr:rowOff>
    </xdr:from>
    <xdr:to>
      <xdr:col>8</xdr:col>
      <xdr:colOff>8881</xdr:colOff>
      <xdr:row>75</xdr:row>
      <xdr:rowOff>88811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D046857-9AA9-9DB7-723B-A0A4D4536D48}"/>
            </a:ext>
          </a:extLst>
        </xdr:cNvPr>
        <xdr:cNvCxnSpPr/>
      </xdr:nvCxnSpPr>
      <xdr:spPr>
        <a:xfrm flipH="1">
          <a:off x="7380210" y="17762"/>
          <a:ext cx="8881" cy="1289538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150922</xdr:rowOff>
    </xdr:from>
    <xdr:to>
      <xdr:col>21</xdr:col>
      <xdr:colOff>227747</xdr:colOff>
      <xdr:row>26</xdr:row>
      <xdr:rowOff>65712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AB7E58-6DD0-7A87-EC35-E51973B35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7905</xdr:colOff>
      <xdr:row>31</xdr:row>
      <xdr:rowOff>19298</xdr:rowOff>
    </xdr:from>
    <xdr:to>
      <xdr:col>21</xdr:col>
      <xdr:colOff>193261</xdr:colOff>
      <xdr:row>59</xdr:row>
      <xdr:rowOff>13805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62FB1B-525D-FAA7-6308-646E66AFE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826334</xdr:colOff>
      <xdr:row>30</xdr:row>
      <xdr:rowOff>162154</xdr:rowOff>
    </xdr:from>
    <xdr:to>
      <xdr:col>30</xdr:col>
      <xdr:colOff>377602</xdr:colOff>
      <xdr:row>59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977371C-40B6-D32B-0FAA-1C00C0C69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36453</xdr:colOff>
      <xdr:row>1</xdr:row>
      <xdr:rowOff>10111</xdr:rowOff>
    </xdr:from>
    <xdr:to>
      <xdr:col>30</xdr:col>
      <xdr:colOff>352777</xdr:colOff>
      <xdr:row>26</xdr:row>
      <xdr:rowOff>23519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ED0974-7794-DE61-BE92-5C89C35FB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799889</xdr:colOff>
      <xdr:row>36</xdr:row>
      <xdr:rowOff>336</xdr:rowOff>
    </xdr:from>
    <xdr:to>
      <xdr:col>38</xdr:col>
      <xdr:colOff>273894</xdr:colOff>
      <xdr:row>55</xdr:row>
      <xdr:rowOff>41744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915A08-28F2-B827-59C1-9BDDF77F8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10259</xdr:colOff>
      <xdr:row>12</xdr:row>
      <xdr:rowOff>149425</xdr:rowOff>
    </xdr:from>
    <xdr:to>
      <xdr:col>38</xdr:col>
      <xdr:colOff>355053</xdr:colOff>
      <xdr:row>31</xdr:row>
      <xdr:rowOff>122903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CE9431-B64F-DE95-F6A2-044CB5BFE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10624</xdr:colOff>
      <xdr:row>24</xdr:row>
      <xdr:rowOff>24246</xdr:rowOff>
    </xdr:from>
    <xdr:to>
      <xdr:col>22</xdr:col>
      <xdr:colOff>11545</xdr:colOff>
      <xdr:row>47</xdr:row>
      <xdr:rowOff>69273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29453C-D756-4516-DD5F-C74D3E975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ges.stern.nyu.edu/~adamodar/New_Home_Page/datafile/pbvdata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2587-4A26-0B48-BE9A-BE2DDF8D3146}">
  <dimension ref="B2:M39"/>
  <sheetViews>
    <sheetView zoomScale="125" zoomScaleNormal="162" workbookViewId="0">
      <selection activeCell="L25" sqref="L25"/>
    </sheetView>
  </sheetViews>
  <sheetFormatPr baseColWidth="10" defaultRowHeight="13"/>
  <cols>
    <col min="2" max="2" width="14.5" customWidth="1"/>
    <col min="8" max="8" width="10.83203125" customWidth="1"/>
    <col min="10" max="10" width="15.6640625" customWidth="1"/>
    <col min="11" max="11" width="13.6640625" customWidth="1"/>
    <col min="13" max="13" width="10.6640625" customWidth="1"/>
  </cols>
  <sheetData>
    <row r="2" spans="2:13">
      <c r="B2" s="19" t="s">
        <v>77</v>
      </c>
    </row>
    <row r="3" spans="2:13">
      <c r="J3" s="26" t="s">
        <v>70</v>
      </c>
      <c r="K3" s="27">
        <v>9.27</v>
      </c>
      <c r="L3" s="36" t="s">
        <v>78</v>
      </c>
    </row>
    <row r="4" spans="2:13">
      <c r="B4" s="5" t="s">
        <v>68</v>
      </c>
      <c r="J4" s="28" t="s">
        <v>71</v>
      </c>
      <c r="K4" s="29">
        <v>79138</v>
      </c>
      <c r="L4" s="36" t="s">
        <v>444</v>
      </c>
      <c r="M4" s="17"/>
    </row>
    <row r="5" spans="2:13">
      <c r="B5" t="s">
        <v>67</v>
      </c>
      <c r="J5" s="28" t="s">
        <v>72</v>
      </c>
      <c r="K5" s="29">
        <f>K3*K4</f>
        <v>733609.26</v>
      </c>
      <c r="L5" s="36"/>
      <c r="M5" s="3"/>
    </row>
    <row r="6" spans="2:13">
      <c r="B6" t="s">
        <v>69</v>
      </c>
      <c r="J6" s="28" t="s">
        <v>73</v>
      </c>
      <c r="K6" s="29">
        <v>80219</v>
      </c>
      <c r="L6" s="36" t="s">
        <v>115</v>
      </c>
      <c r="M6" s="3"/>
    </row>
    <row r="7" spans="2:13">
      <c r="J7" s="28" t="s">
        <v>74</v>
      </c>
      <c r="K7" s="29">
        <f>15605+52000+8975</f>
        <v>76580</v>
      </c>
      <c r="L7" s="36" t="s">
        <v>115</v>
      </c>
    </row>
    <row r="8" spans="2:13">
      <c r="B8" s="34" t="s">
        <v>216</v>
      </c>
      <c r="J8" s="30" t="s">
        <v>75</v>
      </c>
      <c r="K8" s="31">
        <f>K5+K7-K6</f>
        <v>729970.26</v>
      </c>
      <c r="L8" s="37" t="s">
        <v>80</v>
      </c>
    </row>
    <row r="9" spans="2:13">
      <c r="B9" s="34" t="s">
        <v>76</v>
      </c>
      <c r="L9" s="19"/>
    </row>
    <row r="10" spans="2:13">
      <c r="B10" t="s">
        <v>96</v>
      </c>
      <c r="J10" s="3" t="s">
        <v>79</v>
      </c>
    </row>
    <row r="11" spans="2:13">
      <c r="J11" t="s">
        <v>214</v>
      </c>
    </row>
    <row r="12" spans="2:13">
      <c r="B12" t="s">
        <v>125</v>
      </c>
    </row>
    <row r="13" spans="2:13">
      <c r="B13" t="s">
        <v>82</v>
      </c>
      <c r="J13" s="3" t="s">
        <v>98</v>
      </c>
      <c r="K13" s="20">
        <v>61171</v>
      </c>
      <c r="L13" s="36" t="s">
        <v>115</v>
      </c>
    </row>
    <row r="14" spans="2:13">
      <c r="J14" s="3" t="s">
        <v>93</v>
      </c>
      <c r="K14" s="20">
        <v>41571</v>
      </c>
      <c r="L14" s="36" t="s">
        <v>115</v>
      </c>
    </row>
    <row r="16" spans="2:13">
      <c r="B16" s="5" t="s">
        <v>81</v>
      </c>
      <c r="H16" s="20"/>
      <c r="J16" t="s">
        <v>99</v>
      </c>
      <c r="K16" s="17">
        <f>K8/K13</f>
        <v>11.933273283091662</v>
      </c>
    </row>
    <row r="17" spans="2:13">
      <c r="B17" t="s">
        <v>83</v>
      </c>
      <c r="H17" s="3"/>
      <c r="J17" s="22" t="s">
        <v>94</v>
      </c>
      <c r="K17" s="23">
        <f>K8/K14</f>
        <v>17.559603088691635</v>
      </c>
    </row>
    <row r="18" spans="2:13">
      <c r="B18" t="s">
        <v>84</v>
      </c>
      <c r="H18" s="3"/>
      <c r="J18" s="21" t="s">
        <v>97</v>
      </c>
      <c r="K18" s="24">
        <f>K5/K14</f>
        <v>17.647140073609005</v>
      </c>
    </row>
    <row r="19" spans="2:13">
      <c r="B19" t="s">
        <v>95</v>
      </c>
      <c r="J19" s="5" t="s">
        <v>443</v>
      </c>
      <c r="K19" s="23">
        <f>K7/K13</f>
        <v>1.2519004103251541</v>
      </c>
      <c r="L19" s="65"/>
      <c r="M19" s="65"/>
    </row>
    <row r="20" spans="2:13">
      <c r="B20" t="s">
        <v>250</v>
      </c>
    </row>
    <row r="21" spans="2:13">
      <c r="J21" s="34" t="s">
        <v>245</v>
      </c>
      <c r="K21" s="64">
        <f>K14/K24</f>
        <v>7.589923920009202E-2</v>
      </c>
      <c r="L21" s="19" t="s">
        <v>246</v>
      </c>
    </row>
    <row r="22" spans="2:13">
      <c r="J22" s="34" t="s">
        <v>241</v>
      </c>
      <c r="K22" s="64">
        <f>K14/(K24-K25)</f>
        <v>0.20141964242453608</v>
      </c>
      <c r="L22" s="19" t="s">
        <v>247</v>
      </c>
    </row>
    <row r="23" spans="2:13">
      <c r="B23" s="5" t="s">
        <v>220</v>
      </c>
    </row>
    <row r="24" spans="2:13">
      <c r="B24" t="s">
        <v>85</v>
      </c>
      <c r="C24" t="s">
        <v>254</v>
      </c>
      <c r="J24" s="5" t="s">
        <v>187</v>
      </c>
      <c r="K24" s="25">
        <f>Model!H51</f>
        <v>547713</v>
      </c>
      <c r="L24" s="36" t="s">
        <v>115</v>
      </c>
    </row>
    <row r="25" spans="2:13">
      <c r="B25" t="s">
        <v>86</v>
      </c>
      <c r="C25" t="s">
        <v>90</v>
      </c>
      <c r="J25" s="5" t="s">
        <v>186</v>
      </c>
      <c r="K25" s="25">
        <f>Model!H60</f>
        <v>341323</v>
      </c>
      <c r="L25" s="36" t="s">
        <v>115</v>
      </c>
    </row>
    <row r="26" spans="2:13">
      <c r="B26" t="s">
        <v>87</v>
      </c>
      <c r="C26" t="s">
        <v>89</v>
      </c>
    </row>
    <row r="27" spans="2:13">
      <c r="B27" t="s">
        <v>88</v>
      </c>
      <c r="C27" t="s">
        <v>91</v>
      </c>
      <c r="J27" t="s">
        <v>179</v>
      </c>
      <c r="K27" s="20">
        <f>K24-Model!H43-K25</f>
        <v>11293</v>
      </c>
      <c r="L27" s="77" t="s">
        <v>180</v>
      </c>
    </row>
    <row r="28" spans="2:13">
      <c r="J28" t="s">
        <v>178</v>
      </c>
      <c r="K28" s="17">
        <f>K27/K4</f>
        <v>0.14270009350754378</v>
      </c>
      <c r="L28" s="77" t="s">
        <v>181</v>
      </c>
    </row>
    <row r="29" spans="2:13">
      <c r="J29" t="s">
        <v>182</v>
      </c>
      <c r="K29" s="2">
        <f>K28/K3</f>
        <v>1.5393753344934605E-2</v>
      </c>
      <c r="L29" s="77" t="s">
        <v>215</v>
      </c>
    </row>
    <row r="30" spans="2:13">
      <c r="B30" s="5" t="s">
        <v>92</v>
      </c>
      <c r="K30" s="2"/>
      <c r="L30" s="48"/>
    </row>
    <row r="31" spans="2:13">
      <c r="B31" t="s">
        <v>252</v>
      </c>
      <c r="J31" t="s">
        <v>183</v>
      </c>
      <c r="K31" s="20">
        <f>K24-K25</f>
        <v>206390</v>
      </c>
    </row>
    <row r="32" spans="2:13">
      <c r="B32" t="s">
        <v>251</v>
      </c>
      <c r="J32" t="s">
        <v>184</v>
      </c>
      <c r="K32" s="17">
        <f>K31/K4</f>
        <v>2.6079759407617074</v>
      </c>
    </row>
    <row r="33" spans="2:12">
      <c r="B33" t="s">
        <v>248</v>
      </c>
      <c r="J33" t="s">
        <v>188</v>
      </c>
      <c r="K33" s="49">
        <f>K32/K3</f>
        <v>0.28133505294085304</v>
      </c>
    </row>
    <row r="34" spans="2:12">
      <c r="B34" t="s">
        <v>253</v>
      </c>
      <c r="J34" t="s">
        <v>185</v>
      </c>
      <c r="K34" s="17">
        <f>K5/K31</f>
        <v>3.5544806434420271</v>
      </c>
      <c r="L34" s="19" t="s">
        <v>242</v>
      </c>
    </row>
    <row r="36" spans="2:12">
      <c r="C36" t="s">
        <v>128</v>
      </c>
    </row>
    <row r="37" spans="2:12">
      <c r="B37" t="s">
        <v>126</v>
      </c>
      <c r="C37" t="s">
        <v>129</v>
      </c>
      <c r="J37" s="19" t="s">
        <v>243</v>
      </c>
      <c r="K37" s="19"/>
      <c r="L37" s="65" t="s">
        <v>244</v>
      </c>
    </row>
    <row r="38" spans="2:12">
      <c r="B38" t="s">
        <v>127</v>
      </c>
      <c r="C38" t="s">
        <v>131</v>
      </c>
    </row>
    <row r="39" spans="2:12">
      <c r="B39" t="s">
        <v>130</v>
      </c>
    </row>
  </sheetData>
  <phoneticPr fontId="22" type="noConversion"/>
  <hyperlinks>
    <hyperlink ref="L37" r:id="rId1" xr:uid="{312E6B67-0CD8-1B4C-93A5-8EB3FD4032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77F4-957E-FF46-BD87-D2060A12B31C}">
  <dimension ref="A1:GJ75"/>
  <sheetViews>
    <sheetView zoomScale="140" zoomScaleNormal="140" workbookViewId="0">
      <pane xSplit="2" ySplit="2" topLeftCell="M18" activePane="bottomRight" state="frozen"/>
      <selection pane="topRight" activeCell="C1" sqref="C1"/>
      <selection pane="bottomLeft" activeCell="A3" sqref="A3"/>
      <selection pane="bottomRight" activeCell="H50" sqref="H50"/>
    </sheetView>
  </sheetViews>
  <sheetFormatPr baseColWidth="10" defaultRowHeight="13"/>
  <cols>
    <col min="1" max="1" width="4.83203125" bestFit="1" customWidth="1"/>
    <col min="2" max="2" width="27" customWidth="1"/>
    <col min="3" max="4" width="10.83203125" customWidth="1"/>
    <col min="9" max="9" width="10.83203125" customWidth="1"/>
    <col min="10" max="10" width="19.33203125" customWidth="1"/>
    <col min="11" max="11" width="20.83203125" bestFit="1" customWidth="1"/>
    <col min="12" max="12" width="10.83203125" customWidth="1"/>
    <col min="13" max="13" width="16.5" customWidth="1"/>
    <col min="14" max="14" width="15.1640625" customWidth="1"/>
    <col min="15" max="15" width="10.83203125" customWidth="1"/>
    <col min="16" max="16" width="16.1640625" customWidth="1"/>
    <col min="17" max="17" width="15.83203125" customWidth="1"/>
    <col min="18" max="18" width="11.33203125" bestFit="1" customWidth="1"/>
    <col min="19" max="19" width="16.33203125" customWidth="1"/>
    <col min="20" max="20" width="15.6640625" customWidth="1"/>
    <col min="21" max="263" width="11.33203125" bestFit="1" customWidth="1"/>
  </cols>
  <sheetData>
    <row r="1" spans="1:16">
      <c r="A1" s="32" t="s">
        <v>114</v>
      </c>
      <c r="E1" s="33"/>
      <c r="F1" s="33"/>
      <c r="G1" s="33"/>
      <c r="H1" s="33"/>
      <c r="I1" s="86" t="s">
        <v>238</v>
      </c>
      <c r="J1" s="87"/>
      <c r="K1" s="87"/>
      <c r="L1" s="87"/>
      <c r="M1" s="87"/>
      <c r="N1" s="88"/>
    </row>
    <row r="2" spans="1:16">
      <c r="B2" s="20"/>
      <c r="C2" s="33" t="s">
        <v>222</v>
      </c>
      <c r="D2" s="33" t="s">
        <v>223</v>
      </c>
      <c r="E2" s="33" t="s">
        <v>224</v>
      </c>
      <c r="F2" s="33" t="s">
        <v>225</v>
      </c>
      <c r="G2" s="33" t="s">
        <v>226</v>
      </c>
      <c r="H2" s="33" t="s">
        <v>221</v>
      </c>
      <c r="I2" s="33" t="s">
        <v>227</v>
      </c>
      <c r="J2" s="33" t="s">
        <v>228</v>
      </c>
      <c r="K2" s="33" t="s">
        <v>229</v>
      </c>
      <c r="L2" s="33" t="s">
        <v>230</v>
      </c>
      <c r="M2" s="33" t="s">
        <v>231</v>
      </c>
      <c r="N2" s="33" t="s">
        <v>232</v>
      </c>
      <c r="O2" s="33"/>
      <c r="P2" s="33"/>
    </row>
    <row r="3" spans="1:16" s="25" customFormat="1">
      <c r="A3" s="5"/>
      <c r="B3" s="25" t="s">
        <v>100</v>
      </c>
      <c r="C3" s="25">
        <v>599922</v>
      </c>
      <c r="D3" s="25">
        <v>620375</v>
      </c>
      <c r="E3" s="25">
        <v>775639</v>
      </c>
      <c r="F3" s="25">
        <v>816276</v>
      </c>
      <c r="G3" s="25">
        <v>848179</v>
      </c>
      <c r="H3" s="25">
        <v>1008970</v>
      </c>
      <c r="I3" s="25">
        <f t="shared" ref="I3:N3" si="0">H3*(1+$Q$28)</f>
        <v>1105831.1200000001</v>
      </c>
      <c r="J3" s="25">
        <f t="shared" si="0"/>
        <v>1211990.9075200001</v>
      </c>
      <c r="K3" s="25">
        <f t="shared" si="0"/>
        <v>1328342.0346419201</v>
      </c>
      <c r="L3" s="25">
        <f t="shared" si="0"/>
        <v>1455862.8699675447</v>
      </c>
      <c r="M3" s="25">
        <f t="shared" si="0"/>
        <v>1595625.7054844291</v>
      </c>
      <c r="N3" s="25">
        <f t="shared" si="0"/>
        <v>1748805.7732109344</v>
      </c>
    </row>
    <row r="4" spans="1:16" s="20" customFormat="1">
      <c r="A4"/>
      <c r="B4" s="20" t="s">
        <v>101</v>
      </c>
      <c r="C4" s="20">
        <v>514299</v>
      </c>
      <c r="D4" s="20">
        <v>527274</v>
      </c>
      <c r="E4" s="20">
        <v>666454</v>
      </c>
      <c r="F4" s="20">
        <v>693336</v>
      </c>
      <c r="G4" s="20">
        <v>719534</v>
      </c>
      <c r="H4" s="20">
        <v>867306</v>
      </c>
      <c r="J4" s="25"/>
    </row>
    <row r="5" spans="1:16" s="20" customFormat="1">
      <c r="A5"/>
      <c r="B5" s="20" t="s">
        <v>102</v>
      </c>
      <c r="C5" s="20">
        <f t="shared" ref="C5:H5" si="1">C3-C4</f>
        <v>85623</v>
      </c>
      <c r="D5" s="20">
        <f t="shared" si="1"/>
        <v>93101</v>
      </c>
      <c r="E5" s="20">
        <f t="shared" si="1"/>
        <v>109185</v>
      </c>
      <c r="F5" s="20">
        <f t="shared" si="1"/>
        <v>122940</v>
      </c>
      <c r="G5" s="20">
        <f t="shared" si="1"/>
        <v>128645</v>
      </c>
      <c r="H5" s="20">
        <f t="shared" si="1"/>
        <v>141664</v>
      </c>
    </row>
    <row r="6" spans="1:16" s="20" customFormat="1">
      <c r="A6"/>
    </row>
    <row r="7" spans="1:16" s="20" customFormat="1">
      <c r="A7"/>
      <c r="B7" s="20" t="s">
        <v>233</v>
      </c>
      <c r="C7" s="20">
        <v>58178</v>
      </c>
      <c r="D7" s="20">
        <v>60194</v>
      </c>
      <c r="E7" s="20">
        <v>68055</v>
      </c>
      <c r="F7" s="20">
        <v>76711</v>
      </c>
      <c r="G7" s="20">
        <v>74649</v>
      </c>
      <c r="H7" s="20">
        <v>84459</v>
      </c>
    </row>
    <row r="8" spans="1:16" s="20" customFormat="1">
      <c r="A8"/>
      <c r="B8" s="20" t="s">
        <v>103</v>
      </c>
      <c r="C8" s="20">
        <v>0</v>
      </c>
      <c r="D8" s="20">
        <v>0</v>
      </c>
      <c r="E8" s="20">
        <v>0</v>
      </c>
      <c r="F8" s="20">
        <v>3655</v>
      </c>
      <c r="G8" s="20">
        <v>3865</v>
      </c>
      <c r="H8" s="20">
        <v>4165</v>
      </c>
    </row>
    <row r="9" spans="1:16" s="20" customFormat="1">
      <c r="A9"/>
      <c r="B9" s="20" t="s">
        <v>113</v>
      </c>
      <c r="C9" s="20">
        <v>-96</v>
      </c>
      <c r="D9" s="20">
        <v>39</v>
      </c>
      <c r="E9" s="20">
        <v>-11</v>
      </c>
      <c r="F9" s="20">
        <v>-95</v>
      </c>
      <c r="G9" s="20">
        <v>154</v>
      </c>
      <c r="H9" s="20">
        <v>199</v>
      </c>
    </row>
    <row r="10" spans="1:16" s="25" customFormat="1">
      <c r="A10" s="5"/>
      <c r="B10" s="25" t="s">
        <v>104</v>
      </c>
      <c r="C10" s="25">
        <f t="shared" ref="C10:H10" si="2">C5-C7-C9+C8</f>
        <v>27541</v>
      </c>
      <c r="D10" s="25">
        <f t="shared" si="2"/>
        <v>32868</v>
      </c>
      <c r="E10" s="25">
        <f t="shared" si="2"/>
        <v>41141</v>
      </c>
      <c r="F10" s="25">
        <f t="shared" si="2"/>
        <v>49979</v>
      </c>
      <c r="G10" s="25">
        <f t="shared" si="2"/>
        <v>57707</v>
      </c>
      <c r="H10" s="25">
        <f t="shared" si="2"/>
        <v>61171</v>
      </c>
      <c r="I10" s="25">
        <f>I3*$J$29</f>
        <v>62849.138742858479</v>
      </c>
      <c r="J10" s="25">
        <f t="shared" ref="J10:N10" si="3">J3*$J$29</f>
        <v>68882.656062172886</v>
      </c>
      <c r="K10" s="25">
        <f t="shared" si="3"/>
        <v>75495.391044141492</v>
      </c>
      <c r="L10" s="25">
        <f t="shared" si="3"/>
        <v>82742.94858437909</v>
      </c>
      <c r="M10" s="25">
        <f t="shared" si="3"/>
        <v>90686.27164847948</v>
      </c>
      <c r="N10" s="25">
        <f t="shared" si="3"/>
        <v>99392.153726733522</v>
      </c>
    </row>
    <row r="11" spans="1:16" s="25" customFormat="1">
      <c r="A11" s="5"/>
    </row>
    <row r="12" spans="1:16" s="20" customFormat="1">
      <c r="A12"/>
      <c r="B12" s="20" t="s">
        <v>105</v>
      </c>
      <c r="C12" s="20">
        <v>50</v>
      </c>
      <c r="D12" s="20">
        <v>44</v>
      </c>
      <c r="E12" s="20">
        <v>19</v>
      </c>
      <c r="F12" s="20">
        <v>16</v>
      </c>
      <c r="G12" s="20">
        <v>360</v>
      </c>
      <c r="H12" s="20">
        <v>791</v>
      </c>
      <c r="J12" s="25"/>
    </row>
    <row r="13" spans="1:16" s="20" customFormat="1">
      <c r="A13"/>
      <c r="B13" s="20" t="s">
        <v>106</v>
      </c>
      <c r="C13" s="20">
        <v>1244</v>
      </c>
      <c r="D13" s="20">
        <v>1343</v>
      </c>
      <c r="E13" s="20">
        <v>836</v>
      </c>
      <c r="F13" s="20">
        <v>573</v>
      </c>
      <c r="G13" s="20">
        <v>1285</v>
      </c>
      <c r="H13" s="20">
        <v>1828</v>
      </c>
    </row>
    <row r="14" spans="1:16" s="20" customFormat="1">
      <c r="A14"/>
      <c r="B14" s="20" t="s">
        <v>107</v>
      </c>
      <c r="C14" s="20">
        <v>615</v>
      </c>
      <c r="D14" s="20">
        <v>532</v>
      </c>
      <c r="E14" s="20">
        <v>428</v>
      </c>
      <c r="F14" s="20">
        <v>33</v>
      </c>
      <c r="G14" s="20">
        <v>66</v>
      </c>
      <c r="H14" s="20">
        <v>90</v>
      </c>
    </row>
    <row r="15" spans="1:16" s="35" customFormat="1">
      <c r="A15" s="34"/>
      <c r="B15" s="35" t="s">
        <v>108</v>
      </c>
      <c r="C15" s="35">
        <f t="shared" ref="C15:H15" si="4">C10+C12-C13+C14</f>
        <v>26962</v>
      </c>
      <c r="D15" s="35">
        <f t="shared" si="4"/>
        <v>32101</v>
      </c>
      <c r="E15" s="35">
        <f t="shared" si="4"/>
        <v>40752</v>
      </c>
      <c r="F15" s="35">
        <f t="shared" si="4"/>
        <v>49455</v>
      </c>
      <c r="G15" s="35">
        <f t="shared" si="4"/>
        <v>56848</v>
      </c>
      <c r="H15" s="35">
        <f t="shared" si="4"/>
        <v>60224</v>
      </c>
      <c r="J15" s="20"/>
      <c r="N15" s="63"/>
    </row>
    <row r="16" spans="1:16" s="25" customFormat="1">
      <c r="A16" s="5"/>
      <c r="J16" s="35"/>
    </row>
    <row r="17" spans="1:192" s="20" customFormat="1">
      <c r="A17"/>
      <c r="B17" s="20" t="s">
        <v>110</v>
      </c>
      <c r="C17" s="20">
        <v>4705</v>
      </c>
      <c r="D17" s="20">
        <v>5759</v>
      </c>
      <c r="E17" s="20">
        <v>8669</v>
      </c>
      <c r="F17" s="20">
        <v>9548</v>
      </c>
      <c r="G17" s="20">
        <v>10742</v>
      </c>
      <c r="H17" s="20">
        <v>16213</v>
      </c>
      <c r="J17" s="25"/>
    </row>
    <row r="18" spans="1:192" s="20" customFormat="1">
      <c r="A18"/>
      <c r="B18" s="20" t="s">
        <v>111</v>
      </c>
      <c r="C18" s="20">
        <f t="shared" ref="C18:H18" si="5">C15-C17</f>
        <v>22257</v>
      </c>
      <c r="D18" s="20">
        <f t="shared" si="5"/>
        <v>26342</v>
      </c>
      <c r="E18" s="20">
        <f t="shared" si="5"/>
        <v>32083</v>
      </c>
      <c r="F18" s="20">
        <f t="shared" si="5"/>
        <v>39907</v>
      </c>
      <c r="G18" s="20">
        <f t="shared" si="5"/>
        <v>46106</v>
      </c>
      <c r="H18" s="20">
        <f t="shared" si="5"/>
        <v>44011</v>
      </c>
    </row>
    <row r="19" spans="1:192" s="20" customFormat="1">
      <c r="A19"/>
      <c r="B19" s="20" t="s">
        <v>112</v>
      </c>
      <c r="C19" s="20">
        <v>0</v>
      </c>
      <c r="D19" s="20">
        <v>5590</v>
      </c>
      <c r="E19" s="20">
        <v>1620</v>
      </c>
      <c r="F19" s="20">
        <v>2242</v>
      </c>
      <c r="G19" s="20">
        <v>2722</v>
      </c>
      <c r="H19" s="20">
        <v>2440</v>
      </c>
    </row>
    <row r="20" spans="1:192" s="20" customFormat="1">
      <c r="A20" s="5"/>
      <c r="B20" s="25" t="s">
        <v>109</v>
      </c>
      <c r="C20" s="25">
        <f t="shared" ref="C20" si="6">C18-C19</f>
        <v>22257</v>
      </c>
      <c r="D20" s="25">
        <v>26342</v>
      </c>
      <c r="E20" s="25">
        <v>32083</v>
      </c>
      <c r="F20" s="25">
        <v>39907</v>
      </c>
      <c r="G20" s="25">
        <v>46106</v>
      </c>
      <c r="H20" s="25">
        <v>44011</v>
      </c>
      <c r="I20" s="25">
        <f>I3*$J$30</f>
        <v>47595.604758444497</v>
      </c>
      <c r="J20" s="25">
        <f t="shared" ref="J20:N20" si="7">J3*$J$30</f>
        <v>52164.782815255166</v>
      </c>
      <c r="K20" s="25">
        <f t="shared" si="7"/>
        <v>57172.601965519658</v>
      </c>
      <c r="L20" s="25">
        <f t="shared" si="7"/>
        <v>62661.171754209558</v>
      </c>
      <c r="M20" s="25">
        <f t="shared" si="7"/>
        <v>68676.644242613678</v>
      </c>
      <c r="N20" s="25">
        <f t="shared" si="7"/>
        <v>75269.602089904598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</row>
    <row r="21" spans="1:192" s="35" customFormat="1">
      <c r="A21" s="5"/>
      <c r="B21" s="25" t="s">
        <v>249</v>
      </c>
      <c r="C21" s="21">
        <f>C20/Main!$K$4</f>
        <v>0.28124289216305692</v>
      </c>
      <c r="D21" s="21">
        <f>D20/Main!$K$4</f>
        <v>0.33286158356289014</v>
      </c>
      <c r="E21" s="21">
        <f>E20/Main!$K$4</f>
        <v>0.40540574692309639</v>
      </c>
      <c r="F21" s="21">
        <f>F20/Main!$K$4</f>
        <v>0.50427102024311965</v>
      </c>
      <c r="G21" s="21">
        <f>G20/Main!$K$4</f>
        <v>0.58260254239429854</v>
      </c>
      <c r="H21" s="21">
        <f>H20/Main!$K$4</f>
        <v>0.55612979857969624</v>
      </c>
      <c r="I21" s="21">
        <f>I20/Main!$K$4</f>
        <v>0.60142541836342212</v>
      </c>
      <c r="J21" s="21">
        <f>J20/Main!$K$4</f>
        <v>0.65916225852631061</v>
      </c>
      <c r="K21" s="21">
        <f>K20/Main!$K$4</f>
        <v>0.7224418353448363</v>
      </c>
      <c r="L21" s="21">
        <f>L20/Main!$K$4</f>
        <v>0.79179625153794075</v>
      </c>
      <c r="M21" s="21">
        <f>M20/Main!$K$4</f>
        <v>0.86780869168558317</v>
      </c>
      <c r="N21" s="21">
        <f>N20/Main!$K$4</f>
        <v>0.95111832608739921</v>
      </c>
      <c r="Q21" s="21"/>
    </row>
    <row r="22" spans="1:192" s="20" customFormat="1">
      <c r="A22" s="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</row>
    <row r="23" spans="1:192" s="35" customFormat="1">
      <c r="A23" s="34"/>
      <c r="B23" s="35" t="s">
        <v>189</v>
      </c>
      <c r="C23" s="35">
        <v>23370</v>
      </c>
      <c r="D23" s="35">
        <v>52446</v>
      </c>
      <c r="E23" s="35">
        <v>40143</v>
      </c>
      <c r="F23" s="35">
        <v>61140</v>
      </c>
      <c r="G23" s="35">
        <v>57017</v>
      </c>
      <c r="H23" s="35">
        <v>48467</v>
      </c>
      <c r="J23" s="25"/>
    </row>
    <row r="24" spans="1:192" s="35" customFormat="1">
      <c r="A24" s="34"/>
      <c r="B24" s="35" t="s">
        <v>190</v>
      </c>
      <c r="C24" s="35">
        <f>2619</f>
        <v>2619</v>
      </c>
      <c r="D24" s="35">
        <v>3756</v>
      </c>
      <c r="E24" s="35">
        <f>4042</f>
        <v>4042</v>
      </c>
      <c r="F24" s="35">
        <f>5056</f>
        <v>5056</v>
      </c>
      <c r="G24" s="35">
        <v>5414</v>
      </c>
      <c r="H24" s="35">
        <v>6146</v>
      </c>
    </row>
    <row r="25" spans="1:192" s="25" customFormat="1">
      <c r="A25" s="5"/>
      <c r="B25" s="25" t="s">
        <v>191</v>
      </c>
      <c r="C25" s="25">
        <f t="shared" ref="C25:F25" si="8">C23-C24</f>
        <v>20751</v>
      </c>
      <c r="D25" s="25">
        <f t="shared" si="8"/>
        <v>48690</v>
      </c>
      <c r="E25" s="25">
        <f t="shared" si="8"/>
        <v>36101</v>
      </c>
      <c r="F25" s="25">
        <f t="shared" si="8"/>
        <v>56084</v>
      </c>
      <c r="G25" s="25">
        <f>G23-G24</f>
        <v>51603</v>
      </c>
      <c r="H25" s="25">
        <f>H23-H24</f>
        <v>42321</v>
      </c>
      <c r="I25" s="25">
        <f>I3*$K$31</f>
        <v>61025.198966098716</v>
      </c>
      <c r="J25" s="25">
        <f t="shared" ref="J25:N25" si="9">J3*$K$31</f>
        <v>66883.618066844196</v>
      </c>
      <c r="K25" s="25">
        <f t="shared" si="9"/>
        <v>73304.445401261226</v>
      </c>
      <c r="L25" s="25">
        <f t="shared" si="9"/>
        <v>80341.67215978232</v>
      </c>
      <c r="M25" s="25">
        <f t="shared" si="9"/>
        <v>88054.472687121437</v>
      </c>
      <c r="N25" s="25">
        <f t="shared" si="9"/>
        <v>96507.70206508509</v>
      </c>
      <c r="O25" s="25">
        <f t="shared" ref="O25:AT25" si="10">N25*(1+$Q$29)</f>
        <v>95542.625044434244</v>
      </c>
      <c r="P25" s="25">
        <f t="shared" si="10"/>
        <v>94587.198793989897</v>
      </c>
      <c r="Q25" s="25">
        <f t="shared" si="10"/>
        <v>93641.326806049998</v>
      </c>
      <c r="R25" s="25">
        <f t="shared" si="10"/>
        <v>92704.913537989501</v>
      </c>
      <c r="S25" s="25">
        <f t="shared" si="10"/>
        <v>91777.864402609601</v>
      </c>
      <c r="T25" s="25">
        <f t="shared" si="10"/>
        <v>90860.085758583504</v>
      </c>
      <c r="U25" s="25">
        <f t="shared" si="10"/>
        <v>89951.484900997675</v>
      </c>
      <c r="V25" s="25">
        <f t="shared" si="10"/>
        <v>89051.970051987693</v>
      </c>
      <c r="W25" s="25">
        <f t="shared" si="10"/>
        <v>88161.450351467822</v>
      </c>
      <c r="X25" s="25">
        <f t="shared" si="10"/>
        <v>87279.835847953145</v>
      </c>
      <c r="Y25" s="25">
        <f t="shared" si="10"/>
        <v>86407.037489473616</v>
      </c>
      <c r="Z25" s="25">
        <f t="shared" si="10"/>
        <v>85542.967114578874</v>
      </c>
      <c r="AA25" s="25">
        <f t="shared" si="10"/>
        <v>84687.537443433088</v>
      </c>
      <c r="AB25" s="25">
        <f t="shared" si="10"/>
        <v>83840.662068998761</v>
      </c>
      <c r="AC25" s="25">
        <f t="shared" si="10"/>
        <v>83002.255448308773</v>
      </c>
      <c r="AD25" s="25">
        <f t="shared" si="10"/>
        <v>82172.232893825683</v>
      </c>
      <c r="AE25" s="25">
        <f t="shared" si="10"/>
        <v>81350.510564887431</v>
      </c>
      <c r="AF25" s="25">
        <f t="shared" si="10"/>
        <v>80537.005459238557</v>
      </c>
      <c r="AG25" s="25">
        <f t="shared" si="10"/>
        <v>79731.635404646164</v>
      </c>
      <c r="AH25" s="25">
        <f t="shared" si="10"/>
        <v>78934.319050599704</v>
      </c>
      <c r="AI25" s="25">
        <f t="shared" si="10"/>
        <v>78144.975860093706</v>
      </c>
      <c r="AJ25" s="25">
        <f t="shared" si="10"/>
        <v>77363.526101492767</v>
      </c>
      <c r="AK25" s="25">
        <f t="shared" si="10"/>
        <v>76589.890840477834</v>
      </c>
      <c r="AL25" s="25">
        <f t="shared" si="10"/>
        <v>75823.991932073055</v>
      </c>
      <c r="AM25" s="25">
        <f t="shared" si="10"/>
        <v>75065.752012752317</v>
      </c>
      <c r="AN25" s="25">
        <f t="shared" si="10"/>
        <v>74315.09449262479</v>
      </c>
      <c r="AO25" s="25">
        <f t="shared" si="10"/>
        <v>73571.943547698538</v>
      </c>
      <c r="AP25" s="25">
        <f t="shared" si="10"/>
        <v>72836.224112221549</v>
      </c>
      <c r="AQ25" s="25">
        <f t="shared" si="10"/>
        <v>72107.861871099332</v>
      </c>
      <c r="AR25" s="25">
        <f t="shared" si="10"/>
        <v>71386.783252388341</v>
      </c>
      <c r="AS25" s="25">
        <f t="shared" si="10"/>
        <v>70672.915419864454</v>
      </c>
      <c r="AT25" s="25">
        <f t="shared" si="10"/>
        <v>69966.186265665805</v>
      </c>
      <c r="AU25" s="25">
        <f t="shared" ref="AU25:BZ25" si="11">AT25*(1+$Q$29)</f>
        <v>69266.524403009142</v>
      </c>
      <c r="AV25" s="25">
        <f t="shared" si="11"/>
        <v>68573.859158979045</v>
      </c>
      <c r="AW25" s="25">
        <f t="shared" si="11"/>
        <v>67888.120567389255</v>
      </c>
      <c r="AX25" s="25">
        <f t="shared" si="11"/>
        <v>67209.239361715358</v>
      </c>
      <c r="AY25" s="25">
        <f t="shared" si="11"/>
        <v>66537.146968098197</v>
      </c>
      <c r="AZ25" s="25">
        <f t="shared" si="11"/>
        <v>65871.775498417221</v>
      </c>
      <c r="BA25" s="25">
        <f t="shared" si="11"/>
        <v>65213.057743433048</v>
      </c>
      <c r="BB25" s="25">
        <f t="shared" si="11"/>
        <v>64560.927165998713</v>
      </c>
      <c r="BC25" s="25">
        <f t="shared" si="11"/>
        <v>63915.317894338725</v>
      </c>
      <c r="BD25" s="25">
        <f t="shared" si="11"/>
        <v>63276.164715395338</v>
      </c>
      <c r="BE25" s="25">
        <f t="shared" si="11"/>
        <v>62643.403068241387</v>
      </c>
      <c r="BF25" s="25">
        <f t="shared" si="11"/>
        <v>62016.969037558971</v>
      </c>
      <c r="BG25" s="25">
        <f t="shared" si="11"/>
        <v>61396.799347183383</v>
      </c>
      <c r="BH25" s="25">
        <f t="shared" si="11"/>
        <v>60782.831353711546</v>
      </c>
      <c r="BI25" s="25">
        <f t="shared" si="11"/>
        <v>60175.00304017443</v>
      </c>
      <c r="BJ25" s="25">
        <f t="shared" si="11"/>
        <v>59573.253009772685</v>
      </c>
      <c r="BK25" s="25">
        <f t="shared" si="11"/>
        <v>58977.52047967496</v>
      </c>
      <c r="BL25" s="25">
        <f t="shared" si="11"/>
        <v>58387.745274878209</v>
      </c>
      <c r="BM25" s="25">
        <f t="shared" si="11"/>
        <v>57803.867822129425</v>
      </c>
      <c r="BN25" s="25">
        <f t="shared" si="11"/>
        <v>57225.829143908129</v>
      </c>
      <c r="BO25" s="25">
        <f t="shared" si="11"/>
        <v>56653.570852469049</v>
      </c>
      <c r="BP25" s="25">
        <f t="shared" si="11"/>
        <v>56087.035143944355</v>
      </c>
      <c r="BQ25" s="25">
        <f t="shared" si="11"/>
        <v>55526.164792504911</v>
      </c>
      <c r="BR25" s="25">
        <f t="shared" si="11"/>
        <v>54970.903144579861</v>
      </c>
      <c r="BS25" s="25">
        <f t="shared" si="11"/>
        <v>54421.194113134065</v>
      </c>
      <c r="BT25" s="25">
        <f t="shared" si="11"/>
        <v>53876.982172002725</v>
      </c>
      <c r="BU25" s="25">
        <f t="shared" si="11"/>
        <v>53338.212350282694</v>
      </c>
      <c r="BV25" s="25">
        <f t="shared" si="11"/>
        <v>52804.830226779864</v>
      </c>
      <c r="BW25" s="25">
        <f t="shared" si="11"/>
        <v>52276.781924512063</v>
      </c>
      <c r="BX25" s="25">
        <f t="shared" si="11"/>
        <v>51754.014105266942</v>
      </c>
      <c r="BY25" s="25">
        <f t="shared" si="11"/>
        <v>51236.473964214274</v>
      </c>
      <c r="BZ25" s="25">
        <f t="shared" si="11"/>
        <v>50724.10922457213</v>
      </c>
      <c r="CA25" s="25">
        <f t="shared" ref="CA25:DF25" si="12">BZ25*(1+$Q$29)</f>
        <v>50216.86813232641</v>
      </c>
      <c r="CB25" s="25">
        <f t="shared" si="12"/>
        <v>49714.699451003144</v>
      </c>
      <c r="CC25" s="25">
        <f t="shared" si="12"/>
        <v>49217.552456493111</v>
      </c>
      <c r="CD25" s="25">
        <f t="shared" si="12"/>
        <v>48725.376931928178</v>
      </c>
      <c r="CE25" s="25">
        <f t="shared" si="12"/>
        <v>48238.123162608899</v>
      </c>
      <c r="CF25" s="25">
        <f t="shared" si="12"/>
        <v>47755.741930982811</v>
      </c>
      <c r="CG25" s="25">
        <f t="shared" si="12"/>
        <v>47278.184511672982</v>
      </c>
      <c r="CH25" s="25">
        <f t="shared" si="12"/>
        <v>46805.402666556249</v>
      </c>
      <c r="CI25" s="25">
        <f t="shared" si="12"/>
        <v>46337.348639890683</v>
      </c>
      <c r="CJ25" s="25">
        <f t="shared" si="12"/>
        <v>45873.975153491774</v>
      </c>
      <c r="CK25" s="25">
        <f t="shared" si="12"/>
        <v>45415.235401956859</v>
      </c>
      <c r="CL25" s="25">
        <f t="shared" si="12"/>
        <v>44961.083047937289</v>
      </c>
      <c r="CM25" s="25">
        <f t="shared" si="12"/>
        <v>44511.472217457915</v>
      </c>
      <c r="CN25" s="25">
        <f t="shared" si="12"/>
        <v>44066.357495283337</v>
      </c>
      <c r="CO25" s="25">
        <f t="shared" si="12"/>
        <v>43625.693920330501</v>
      </c>
      <c r="CP25" s="25">
        <f t="shared" si="12"/>
        <v>43189.436981127197</v>
      </c>
      <c r="CQ25" s="25">
        <f t="shared" si="12"/>
        <v>42757.542611315926</v>
      </c>
      <c r="CR25" s="25">
        <f t="shared" si="12"/>
        <v>42329.967185202768</v>
      </c>
      <c r="CS25" s="25">
        <f t="shared" si="12"/>
        <v>41906.667513350738</v>
      </c>
      <c r="CT25" s="25">
        <f t="shared" si="12"/>
        <v>41487.600838217229</v>
      </c>
      <c r="CU25" s="25">
        <f t="shared" si="12"/>
        <v>41072.724829835053</v>
      </c>
      <c r="CV25" s="25">
        <f t="shared" si="12"/>
        <v>40661.9975815367</v>
      </c>
      <c r="CW25" s="25">
        <f t="shared" si="12"/>
        <v>40255.377605721333</v>
      </c>
      <c r="CX25" s="25">
        <f t="shared" si="12"/>
        <v>39852.823829664121</v>
      </c>
      <c r="CY25" s="25">
        <f t="shared" si="12"/>
        <v>39454.295591367481</v>
      </c>
      <c r="CZ25" s="25">
        <f t="shared" si="12"/>
        <v>39059.752635453806</v>
      </c>
      <c r="DA25" s="25">
        <f t="shared" si="12"/>
        <v>38669.155109099265</v>
      </c>
      <c r="DB25" s="25">
        <f t="shared" si="12"/>
        <v>38282.463558008276</v>
      </c>
      <c r="DC25" s="25">
        <f t="shared" si="12"/>
        <v>37899.638922428196</v>
      </c>
      <c r="DD25" s="25">
        <f t="shared" si="12"/>
        <v>37520.642533203914</v>
      </c>
      <c r="DE25" s="25">
        <f t="shared" si="12"/>
        <v>37145.436107871872</v>
      </c>
      <c r="DF25" s="25">
        <f t="shared" si="12"/>
        <v>36773.98174679315</v>
      </c>
      <c r="DG25" s="25">
        <f t="shared" ref="DG25:EL25" si="13">DF25*(1+$Q$29)</f>
        <v>36406.241929325217</v>
      </c>
      <c r="DH25" s="25">
        <f t="shared" si="13"/>
        <v>36042.179510031965</v>
      </c>
      <c r="DI25" s="25">
        <f t="shared" si="13"/>
        <v>35681.757714931642</v>
      </c>
      <c r="DJ25" s="25">
        <f t="shared" si="13"/>
        <v>35324.940137782323</v>
      </c>
      <c r="DK25" s="25">
        <f t="shared" si="13"/>
        <v>34971.690736404496</v>
      </c>
      <c r="DL25" s="25">
        <f t="shared" si="13"/>
        <v>34621.973829040449</v>
      </c>
      <c r="DM25" s="25">
        <f t="shared" si="13"/>
        <v>34275.754090750044</v>
      </c>
      <c r="DN25" s="25">
        <f t="shared" si="13"/>
        <v>33932.996549842544</v>
      </c>
      <c r="DO25" s="25">
        <f t="shared" si="13"/>
        <v>33593.666584344115</v>
      </c>
      <c r="DP25" s="25">
        <f t="shared" si="13"/>
        <v>33257.72991850067</v>
      </c>
      <c r="DQ25" s="25">
        <f t="shared" si="13"/>
        <v>32925.152619315661</v>
      </c>
      <c r="DR25" s="25">
        <f t="shared" si="13"/>
        <v>32595.901093122502</v>
      </c>
      <c r="DS25" s="25">
        <f t="shared" si="13"/>
        <v>32269.942082191275</v>
      </c>
      <c r="DT25" s="25">
        <f t="shared" si="13"/>
        <v>31947.242661369361</v>
      </c>
      <c r="DU25" s="25">
        <f t="shared" si="13"/>
        <v>31627.770234755666</v>
      </c>
      <c r="DV25" s="25">
        <f t="shared" si="13"/>
        <v>31311.492532408109</v>
      </c>
      <c r="DW25" s="25">
        <f t="shared" si="13"/>
        <v>30998.377607084029</v>
      </c>
      <c r="DX25" s="25">
        <f t="shared" si="13"/>
        <v>30688.393831013189</v>
      </c>
      <c r="DY25" s="25">
        <f t="shared" si="13"/>
        <v>30381.509892703056</v>
      </c>
      <c r="DZ25" s="25">
        <f t="shared" si="13"/>
        <v>30077.694793776023</v>
      </c>
      <c r="EA25" s="25">
        <f t="shared" si="13"/>
        <v>29776.917845838263</v>
      </c>
      <c r="EB25" s="25">
        <f t="shared" si="13"/>
        <v>29479.148667379879</v>
      </c>
      <c r="EC25" s="25">
        <f t="shared" si="13"/>
        <v>29184.35718070608</v>
      </c>
      <c r="ED25" s="25">
        <f t="shared" si="13"/>
        <v>28892.513608899018</v>
      </c>
      <c r="EE25" s="25">
        <f t="shared" si="13"/>
        <v>28603.588472810028</v>
      </c>
      <c r="EF25" s="25">
        <f t="shared" si="13"/>
        <v>28317.552588081926</v>
      </c>
      <c r="EG25" s="25">
        <f t="shared" si="13"/>
        <v>28034.377062201107</v>
      </c>
      <c r="EH25" s="25">
        <f t="shared" si="13"/>
        <v>27754.033291579097</v>
      </c>
      <c r="EI25" s="25">
        <f t="shared" si="13"/>
        <v>27476.492958663304</v>
      </c>
      <c r="EJ25" s="25">
        <f t="shared" si="13"/>
        <v>27201.728029076672</v>
      </c>
      <c r="EK25" s="25">
        <f t="shared" si="13"/>
        <v>26929.710748785907</v>
      </c>
      <c r="EL25" s="25">
        <f t="shared" si="13"/>
        <v>26660.413641298048</v>
      </c>
      <c r="EM25" s="25">
        <f t="shared" ref="EM25:FR25" si="14">EL25*(1+$Q$29)</f>
        <v>26393.809504885066</v>
      </c>
      <c r="EN25" s="25">
        <f t="shared" si="14"/>
        <v>26129.871409836214</v>
      </c>
      <c r="EO25" s="25">
        <f t="shared" si="14"/>
        <v>25868.57269573785</v>
      </c>
      <c r="EP25" s="25">
        <f t="shared" si="14"/>
        <v>25609.886968780473</v>
      </c>
      <c r="EQ25" s="25">
        <f t="shared" si="14"/>
        <v>25353.788099092668</v>
      </c>
      <c r="ER25" s="25">
        <f t="shared" si="14"/>
        <v>25100.250218101741</v>
      </c>
      <c r="ES25" s="25">
        <f t="shared" si="14"/>
        <v>24849.247715920723</v>
      </c>
      <c r="ET25" s="25">
        <f t="shared" si="14"/>
        <v>24600.755238761514</v>
      </c>
      <c r="EU25" s="25">
        <f t="shared" si="14"/>
        <v>24354.747686373899</v>
      </c>
      <c r="EV25" s="25">
        <f t="shared" si="14"/>
        <v>24111.20020951016</v>
      </c>
      <c r="EW25" s="25">
        <f t="shared" si="14"/>
        <v>23870.088207415058</v>
      </c>
      <c r="EX25" s="25">
        <f t="shared" si="14"/>
        <v>23631.387325340907</v>
      </c>
      <c r="EY25" s="25">
        <f t="shared" si="14"/>
        <v>23395.073452087498</v>
      </c>
      <c r="EZ25" s="25">
        <f t="shared" si="14"/>
        <v>23161.122717566621</v>
      </c>
      <c r="FA25" s="25">
        <f t="shared" si="14"/>
        <v>22929.511490390956</v>
      </c>
      <c r="FB25" s="25">
        <f t="shared" si="14"/>
        <v>22700.216375487045</v>
      </c>
      <c r="FC25" s="25">
        <f t="shared" si="14"/>
        <v>22473.214211732175</v>
      </c>
      <c r="FD25" s="25">
        <f t="shared" si="14"/>
        <v>22248.482069614853</v>
      </c>
      <c r="FE25" s="25">
        <f t="shared" si="14"/>
        <v>22025.997248918706</v>
      </c>
      <c r="FF25" s="25">
        <f t="shared" si="14"/>
        <v>21805.737276429518</v>
      </c>
      <c r="FG25" s="25">
        <f t="shared" si="14"/>
        <v>21587.679903665223</v>
      </c>
      <c r="FH25" s="25">
        <f t="shared" si="14"/>
        <v>21371.803104628569</v>
      </c>
      <c r="FI25" s="25">
        <f t="shared" si="14"/>
        <v>21158.085073582282</v>
      </c>
      <c r="FJ25" s="25">
        <f t="shared" si="14"/>
        <v>20946.504222846459</v>
      </c>
      <c r="FK25" s="25">
        <f t="shared" si="14"/>
        <v>20737.039180617994</v>
      </c>
      <c r="FL25" s="25">
        <f t="shared" si="14"/>
        <v>20529.668788811814</v>
      </c>
      <c r="FM25" s="25">
        <f t="shared" si="14"/>
        <v>20324.372100923694</v>
      </c>
      <c r="FN25" s="25">
        <f t="shared" si="14"/>
        <v>20121.128379914458</v>
      </c>
      <c r="FO25" s="25">
        <f t="shared" si="14"/>
        <v>19919.917096115314</v>
      </c>
      <c r="FP25" s="25">
        <f t="shared" si="14"/>
        <v>19720.71792515416</v>
      </c>
      <c r="FQ25" s="25">
        <f t="shared" si="14"/>
        <v>19523.510745902619</v>
      </c>
      <c r="FR25" s="25">
        <f t="shared" si="14"/>
        <v>19328.275638443592</v>
      </c>
      <c r="FS25" s="25">
        <f t="shared" ref="FS25:GJ25" si="15">FR25*(1+$Q$29)</f>
        <v>19134.992882059156</v>
      </c>
      <c r="FT25" s="25">
        <f t="shared" si="15"/>
        <v>18943.642953238563</v>
      </c>
      <c r="FU25" s="25">
        <f t="shared" si="15"/>
        <v>18754.206523706176</v>
      </c>
      <c r="FV25" s="25">
        <f t="shared" si="15"/>
        <v>18566.664458469113</v>
      </c>
      <c r="FW25" s="25">
        <f t="shared" si="15"/>
        <v>18380.997813884424</v>
      </c>
      <c r="FX25" s="25">
        <f t="shared" si="15"/>
        <v>18197.187835745579</v>
      </c>
      <c r="FY25" s="25">
        <f t="shared" si="15"/>
        <v>18015.215957388122</v>
      </c>
      <c r="FZ25" s="25">
        <f t="shared" si="15"/>
        <v>17835.06379781424</v>
      </c>
      <c r="GA25" s="25">
        <f t="shared" si="15"/>
        <v>17656.713159836097</v>
      </c>
      <c r="GB25" s="25">
        <f t="shared" si="15"/>
        <v>17480.146028237737</v>
      </c>
      <c r="GC25" s="25">
        <f t="shared" si="15"/>
        <v>17305.344567955359</v>
      </c>
      <c r="GD25" s="25">
        <f t="shared" si="15"/>
        <v>17132.291122275805</v>
      </c>
      <c r="GE25" s="25">
        <f t="shared" si="15"/>
        <v>16960.968211053045</v>
      </c>
      <c r="GF25" s="25">
        <f t="shared" si="15"/>
        <v>16791.358528942514</v>
      </c>
      <c r="GG25" s="25">
        <f t="shared" si="15"/>
        <v>16623.444943653089</v>
      </c>
      <c r="GH25" s="25">
        <f t="shared" si="15"/>
        <v>16457.210494216557</v>
      </c>
      <c r="GI25" s="25">
        <f t="shared" si="15"/>
        <v>16292.638389274391</v>
      </c>
      <c r="GJ25" s="25">
        <f t="shared" si="15"/>
        <v>16129.712005381647</v>
      </c>
    </row>
    <row r="26" spans="1:192" s="5" customFormat="1">
      <c r="B26" s="25"/>
    </row>
    <row r="27" spans="1:192">
      <c r="H27" s="49"/>
      <c r="J27" s="50" t="s">
        <v>123</v>
      </c>
      <c r="K27" s="51" t="s">
        <v>121</v>
      </c>
      <c r="M27" s="89" t="s">
        <v>446</v>
      </c>
      <c r="N27" s="90"/>
      <c r="P27" s="89" t="s">
        <v>447</v>
      </c>
      <c r="Q27" s="90"/>
      <c r="S27" s="89" t="s">
        <v>448</v>
      </c>
      <c r="T27" s="90"/>
    </row>
    <row r="28" spans="1:192">
      <c r="B28" s="20" t="s">
        <v>116</v>
      </c>
      <c r="C28" s="2">
        <f t="shared" ref="C28:H28" si="16">C5/C3</f>
        <v>0.14272355406202805</v>
      </c>
      <c r="D28" s="2">
        <f t="shared" si="16"/>
        <v>0.15007213379004633</v>
      </c>
      <c r="E28" s="2">
        <f t="shared" si="16"/>
        <v>0.14076780564154201</v>
      </c>
      <c r="F28" s="2">
        <f t="shared" si="16"/>
        <v>0.15061082280993193</v>
      </c>
      <c r="G28" s="2">
        <f t="shared" si="16"/>
        <v>0.15167199376546697</v>
      </c>
      <c r="H28" s="2">
        <f t="shared" si="16"/>
        <v>0.14040457099814663</v>
      </c>
      <c r="J28" s="52">
        <f>MEDIAN(C28:H28)</f>
        <v>0.14639784392603719</v>
      </c>
      <c r="K28" s="13">
        <f>AVERAGE(C28:H28)</f>
        <v>0.14604181351119366</v>
      </c>
      <c r="M28" s="58" t="s">
        <v>240</v>
      </c>
      <c r="N28" s="76">
        <v>0.15</v>
      </c>
      <c r="P28" s="58" t="s">
        <v>240</v>
      </c>
      <c r="Q28" s="76">
        <v>9.6000000000000002E-2</v>
      </c>
      <c r="S28" s="58" t="s">
        <v>240</v>
      </c>
      <c r="T28" s="76">
        <v>3.4000000000000002E-2</v>
      </c>
    </row>
    <row r="29" spans="1:192">
      <c r="B29" s="20" t="s">
        <v>120</v>
      </c>
      <c r="C29" s="2">
        <f t="shared" ref="C29:H29" si="17">C10/C3</f>
        <v>4.5907634659172358E-2</v>
      </c>
      <c r="D29" s="2">
        <f t="shared" si="17"/>
        <v>5.2980858351803342E-2</v>
      </c>
      <c r="E29" s="2">
        <f t="shared" si="17"/>
        <v>5.3041427777613039E-2</v>
      </c>
      <c r="F29" s="2">
        <f t="shared" si="17"/>
        <v>6.1228065017224567E-2</v>
      </c>
      <c r="G29" s="2">
        <f t="shared" si="17"/>
        <v>6.8036346101471509E-2</v>
      </c>
      <c r="H29" s="2">
        <f t="shared" si="17"/>
        <v>6.0627174247004374E-2</v>
      </c>
      <c r="J29" s="52">
        <f>MEDIAN(C29:H29)</f>
        <v>5.6834301012308706E-2</v>
      </c>
      <c r="K29" s="13">
        <f>AVERAGE(C29:H29)</f>
        <v>5.6970251025714867E-2</v>
      </c>
      <c r="M29" s="59" t="s">
        <v>172</v>
      </c>
      <c r="N29" s="57">
        <v>-0.01</v>
      </c>
      <c r="P29" s="59" t="s">
        <v>172</v>
      </c>
      <c r="Q29" s="57">
        <v>-0.01</v>
      </c>
      <c r="S29" s="59" t="s">
        <v>172</v>
      </c>
      <c r="T29" s="57">
        <v>-0.01</v>
      </c>
    </row>
    <row r="30" spans="1:192">
      <c r="B30" s="20" t="s">
        <v>117</v>
      </c>
      <c r="C30" s="2">
        <f t="shared" ref="C30:H30" si="18">C20/C3</f>
        <v>3.709982297698701E-2</v>
      </c>
      <c r="D30" s="2">
        <f t="shared" si="18"/>
        <v>4.2461414467056216E-2</v>
      </c>
      <c r="E30" s="2">
        <f t="shared" si="18"/>
        <v>4.1363314634772101E-2</v>
      </c>
      <c r="F30" s="2">
        <f t="shared" si="18"/>
        <v>4.8889101235366467E-2</v>
      </c>
      <c r="G30" s="2">
        <f t="shared" si="18"/>
        <v>5.4358808694862759E-2</v>
      </c>
      <c r="H30" s="2">
        <f t="shared" si="18"/>
        <v>4.3619731012815049E-2</v>
      </c>
      <c r="J30" s="52">
        <f>MEDIAN(C30:H30)</f>
        <v>4.3040572739935633E-2</v>
      </c>
      <c r="K30" s="13">
        <f>AVERAGE(C30:H30)</f>
        <v>4.4632032170309942E-2</v>
      </c>
      <c r="M30" s="59" t="s">
        <v>435</v>
      </c>
      <c r="N30" s="13">
        <f>WACC!C2</f>
        <v>8.0502273504638983E-2</v>
      </c>
      <c r="P30" s="59" t="s">
        <v>435</v>
      </c>
      <c r="Q30" s="13">
        <f>WACC!C2</f>
        <v>8.0502273504638983E-2</v>
      </c>
      <c r="S30" s="59" t="s">
        <v>166</v>
      </c>
      <c r="T30" s="13">
        <f>WACC!C2</f>
        <v>8.0502273504638983E-2</v>
      </c>
    </row>
    <row r="31" spans="1:192">
      <c r="B31" s="20" t="s">
        <v>234</v>
      </c>
      <c r="C31" s="64">
        <f t="shared" ref="C31:H31" si="19">C25/C3</f>
        <v>3.458949663456249E-2</v>
      </c>
      <c r="D31" s="64">
        <f t="shared" si="19"/>
        <v>7.8484787426959496E-2</v>
      </c>
      <c r="E31" s="64">
        <f t="shared" si="19"/>
        <v>4.6543559568304325E-2</v>
      </c>
      <c r="F31" s="64">
        <f t="shared" si="19"/>
        <v>6.8707152972769012E-2</v>
      </c>
      <c r="G31" s="64">
        <f t="shared" si="19"/>
        <v>6.0839751986314208E-2</v>
      </c>
      <c r="H31" s="64">
        <f t="shared" si="19"/>
        <v>4.1944755542781251E-2</v>
      </c>
      <c r="J31" s="52">
        <f>MEDIAN(C31:H31)</f>
        <v>5.3691655777309263E-2</v>
      </c>
      <c r="K31" s="13">
        <f>AVERAGE(C31:H31)</f>
        <v>5.5184917355281797E-2</v>
      </c>
      <c r="M31" s="59" t="s">
        <v>436</v>
      </c>
      <c r="N31" s="13">
        <v>1.4999999999999999E-2</v>
      </c>
      <c r="P31" s="59" t="s">
        <v>436</v>
      </c>
      <c r="Q31" s="13">
        <v>0.02</v>
      </c>
      <c r="S31" s="59" t="s">
        <v>436</v>
      </c>
      <c r="T31" s="57">
        <v>2.5000000000000001E-2</v>
      </c>
    </row>
    <row r="32" spans="1:192">
      <c r="B32" s="20" t="s">
        <v>235</v>
      </c>
      <c r="C32" s="64">
        <f>C7/C3</f>
        <v>9.6975940205560052E-2</v>
      </c>
      <c r="D32" s="64">
        <f t="shared" ref="D32:H32" si="20">D7/D3</f>
        <v>9.7028410235744503E-2</v>
      </c>
      <c r="E32" s="64">
        <f t="shared" si="20"/>
        <v>8.7740559719147695E-2</v>
      </c>
      <c r="F32" s="64">
        <f t="shared" si="20"/>
        <v>9.3976792163434922E-2</v>
      </c>
      <c r="G32" s="64">
        <f t="shared" si="20"/>
        <v>8.8010903358842887E-2</v>
      </c>
      <c r="H32" s="64">
        <f t="shared" si="20"/>
        <v>8.3708138002120971E-2</v>
      </c>
      <c r="J32" s="53">
        <f>MEDIAN(C32:H32)</f>
        <v>9.0993847761138905E-2</v>
      </c>
      <c r="K32" s="16">
        <f>AVERAGE(C32:H32)</f>
        <v>9.124012394747516E-2</v>
      </c>
      <c r="M32" s="59" t="s">
        <v>152</v>
      </c>
      <c r="N32" s="13">
        <f>N31+N30</f>
        <v>9.5502273504638982E-2</v>
      </c>
      <c r="P32" s="59" t="s">
        <v>152</v>
      </c>
      <c r="Q32" s="13">
        <f>Q31+Q30</f>
        <v>0.10050227350463899</v>
      </c>
      <c r="S32" s="59" t="s">
        <v>152</v>
      </c>
      <c r="T32" s="13">
        <f>T31+T30</f>
        <v>0.10550227350463898</v>
      </c>
    </row>
    <row r="33" spans="2:20">
      <c r="B33" s="20"/>
      <c r="C33" s="21"/>
      <c r="D33" s="21"/>
      <c r="E33" s="21"/>
      <c r="F33" s="21"/>
      <c r="G33" s="21"/>
      <c r="H33" s="21"/>
      <c r="J33" s="2"/>
      <c r="K33" s="2"/>
      <c r="M33" s="59" t="s">
        <v>153</v>
      </c>
      <c r="N33" s="29">
        <f>NPV(N32,I72:FJ72)</f>
        <v>1096481.738670636</v>
      </c>
      <c r="P33" s="59" t="s">
        <v>153</v>
      </c>
      <c r="Q33" s="29">
        <f>NPV(Q32,I25:XFD25)</f>
        <v>816049.62489994767</v>
      </c>
      <c r="S33" s="59" t="s">
        <v>153</v>
      </c>
      <c r="T33" s="29">
        <f>NPV(T32,O75:FB75)</f>
        <v>493473.45492112474</v>
      </c>
    </row>
    <row r="34" spans="2:20">
      <c r="F34" s="2"/>
      <c r="G34" s="2"/>
      <c r="H34" s="2"/>
      <c r="J34" s="50" t="s">
        <v>124</v>
      </c>
      <c r="K34" s="51" t="s">
        <v>122</v>
      </c>
      <c r="M34" s="60" t="s">
        <v>154</v>
      </c>
      <c r="N34" s="54">
        <f>N33/Main!K4</f>
        <v>13.855312728027446</v>
      </c>
      <c r="P34" s="60" t="s">
        <v>154</v>
      </c>
      <c r="Q34" s="54">
        <f>Q33/Main!K4</f>
        <v>10.311729193307231</v>
      </c>
      <c r="S34" s="60" t="s">
        <v>154</v>
      </c>
      <c r="T34" s="54">
        <f>T33/Main!K4</f>
        <v>6.2356068503263256</v>
      </c>
    </row>
    <row r="35" spans="2:20">
      <c r="B35" s="20" t="s">
        <v>118</v>
      </c>
      <c r="C35" s="20"/>
      <c r="D35" s="2">
        <f>(D3-C3)/D3</f>
        <v>3.2968768889784401E-2</v>
      </c>
      <c r="E35" s="2">
        <f>(E3-D3)/E3</f>
        <v>0.20017559715279917</v>
      </c>
      <c r="F35" s="2">
        <f>(F3-E3)/F3</f>
        <v>4.9783406592868097E-2</v>
      </c>
      <c r="G35" s="2">
        <f>(G3-F3)/G3</f>
        <v>3.7613522617277718E-2</v>
      </c>
      <c r="H35" s="2">
        <f>(H3-G3)/H3</f>
        <v>0.15936152710189599</v>
      </c>
      <c r="J35" s="52">
        <f>MEDIAN(C35:H35)</f>
        <v>4.9783406592868097E-2</v>
      </c>
      <c r="K35" s="13">
        <f>AVERAGE(C35:H35)</f>
        <v>9.5980564470925081E-2</v>
      </c>
      <c r="M35" s="61" t="s">
        <v>155</v>
      </c>
      <c r="N35" s="55">
        <f>Main!K3</f>
        <v>9.27</v>
      </c>
      <c r="P35" s="61" t="s">
        <v>155</v>
      </c>
      <c r="Q35" s="55">
        <f>Main!K3</f>
        <v>9.27</v>
      </c>
      <c r="S35" s="61" t="s">
        <v>155</v>
      </c>
      <c r="T35" s="55">
        <f>Main!K3</f>
        <v>9.27</v>
      </c>
    </row>
    <row r="36" spans="2:20">
      <c r="B36" s="20" t="s">
        <v>196</v>
      </c>
      <c r="C36" s="20"/>
      <c r="D36" s="2">
        <f>(D10-C10)/D10</f>
        <v>0.16207253255446027</v>
      </c>
      <c r="E36" s="2">
        <f>(E10-D10)/E10</f>
        <v>0.20108893804234218</v>
      </c>
      <c r="F36" s="2">
        <f>(F10-E10)/F10</f>
        <v>0.17683427039356531</v>
      </c>
      <c r="G36" s="2">
        <f>(G10-F10)/G10</f>
        <v>0.13391789557592668</v>
      </c>
      <c r="H36" s="2">
        <f>(H10-G10)/H10</f>
        <v>5.6628140785666407E-2</v>
      </c>
      <c r="J36" s="52">
        <f>MEDIAN(C36:H36)</f>
        <v>0.16207253255446027</v>
      </c>
      <c r="K36" s="13">
        <f>AVERAGE(C36:H36)</f>
        <v>0.14610835547039216</v>
      </c>
      <c r="M36" s="62" t="s">
        <v>197</v>
      </c>
      <c r="N36" s="56">
        <f>(N34-N35)/N35</f>
        <v>0.49463999223597049</v>
      </c>
      <c r="P36" s="62" t="s">
        <v>197</v>
      </c>
      <c r="Q36" s="56">
        <f>(Q34-Q35)/Q35</f>
        <v>0.1123763962575223</v>
      </c>
      <c r="S36" s="62" t="s">
        <v>197</v>
      </c>
      <c r="T36" s="56">
        <f>(T34-T35)/T35</f>
        <v>-0.3273347518526078</v>
      </c>
    </row>
    <row r="37" spans="2:20">
      <c r="B37" s="20" t="s">
        <v>119</v>
      </c>
      <c r="C37" s="20"/>
      <c r="D37" s="2">
        <f>(D20-C20)/D20</f>
        <v>0.15507554475742161</v>
      </c>
      <c r="E37" s="2">
        <f>(E20-D20)/E20</f>
        <v>0.17894211887915717</v>
      </c>
      <c r="F37" s="2">
        <f>(F20-E20)/F20</f>
        <v>0.19605582980429498</v>
      </c>
      <c r="G37" s="2">
        <f>(G20-F20)/G20</f>
        <v>0.13445104758599749</v>
      </c>
      <c r="H37" s="2">
        <f>(H20-G20)/H20</f>
        <v>-4.760173592965395E-2</v>
      </c>
      <c r="J37" s="52">
        <f>MEDIAN(C37:H37)</f>
        <v>0.15507554475742161</v>
      </c>
      <c r="K37" s="13">
        <f>AVERAGE(C37:H37)</f>
        <v>0.12338456101944344</v>
      </c>
    </row>
    <row r="38" spans="2:20">
      <c r="J38" s="12"/>
      <c r="K38" s="9"/>
      <c r="M38" s="19" t="s">
        <v>442</v>
      </c>
      <c r="P38" s="19" t="s">
        <v>441</v>
      </c>
      <c r="S38" s="19" t="s">
        <v>449</v>
      </c>
    </row>
    <row r="39" spans="2:20">
      <c r="B39" s="20" t="s">
        <v>192</v>
      </c>
      <c r="D39" s="49">
        <f>(D25-C25)/C25</f>
        <v>1.3463929449183172</v>
      </c>
      <c r="E39" s="49">
        <f>(E25-D25)/D25</f>
        <v>-0.25855411788868349</v>
      </c>
      <c r="F39" s="49">
        <f>(F25-E25)/E25</f>
        <v>0.5535303731198582</v>
      </c>
      <c r="G39" s="49">
        <f>(G25-F25)/F25</f>
        <v>-7.9898010127665647E-2</v>
      </c>
      <c r="H39" s="49">
        <f>(H25-G25)/G25</f>
        <v>-0.17987326318237312</v>
      </c>
      <c r="J39" s="53">
        <f>MEDIAN(C39:H39)</f>
        <v>-7.9898010127665647E-2</v>
      </c>
      <c r="K39" s="16">
        <f>AVERAGE(D39:H39)</f>
        <v>0.27631958536789064</v>
      </c>
    </row>
    <row r="40" spans="2:20">
      <c r="B40" s="20"/>
      <c r="M40" s="19" t="s">
        <v>445</v>
      </c>
    </row>
    <row r="42" spans="2:20">
      <c r="B42" s="5" t="s">
        <v>198</v>
      </c>
      <c r="M42" s="19" t="s">
        <v>753</v>
      </c>
    </row>
    <row r="43" spans="2:20">
      <c r="B43" s="20" t="s">
        <v>199</v>
      </c>
      <c r="C43" s="20"/>
      <c r="D43" s="20"/>
      <c r="E43" s="20"/>
      <c r="F43" s="20"/>
      <c r="G43" s="20">
        <f>148805+27869</f>
        <v>176674</v>
      </c>
      <c r="H43" s="20">
        <f>161172+33925</f>
        <v>195097</v>
      </c>
    </row>
    <row r="44" spans="2:20">
      <c r="B44" s="20" t="s">
        <v>239</v>
      </c>
      <c r="C44" s="20"/>
      <c r="D44" s="20"/>
      <c r="E44" s="20"/>
      <c r="F44" s="20"/>
      <c r="G44" s="20">
        <v>19400</v>
      </c>
      <c r="H44" s="20">
        <f>25608</f>
        <v>25608</v>
      </c>
      <c r="M44" s="78" t="s">
        <v>451</v>
      </c>
    </row>
    <row r="45" spans="2:20">
      <c r="B45" s="20" t="s">
        <v>204</v>
      </c>
      <c r="C45" s="20"/>
      <c r="D45" s="20"/>
      <c r="E45" s="20"/>
      <c r="F45" s="20"/>
      <c r="G45" s="20">
        <f>19174</f>
        <v>19174</v>
      </c>
      <c r="H45" s="20">
        <f>26294</f>
        <v>26294</v>
      </c>
    </row>
    <row r="46" spans="2:20">
      <c r="B46" s="20" t="s">
        <v>203</v>
      </c>
      <c r="C46" s="20"/>
      <c r="D46" s="20"/>
      <c r="E46" s="20"/>
      <c r="F46" s="20"/>
      <c r="G46" s="20">
        <f>3979+2456</f>
        <v>6435</v>
      </c>
      <c r="H46" s="20">
        <f>3780+2954</f>
        <v>6734</v>
      </c>
    </row>
    <row r="47" spans="2:20">
      <c r="B47" s="20" t="s">
        <v>200</v>
      </c>
      <c r="C47" s="20"/>
      <c r="D47" s="20"/>
      <c r="E47" s="20"/>
      <c r="F47" s="20"/>
      <c r="G47" s="20">
        <f>4169</f>
        <v>4169</v>
      </c>
      <c r="H47" s="20">
        <v>6365</v>
      </c>
    </row>
    <row r="48" spans="2:20">
      <c r="B48" s="20" t="s">
        <v>201</v>
      </c>
      <c r="C48" s="20"/>
      <c r="D48" s="20"/>
      <c r="E48" s="20"/>
      <c r="F48" s="20"/>
      <c r="G48" s="20">
        <v>187311</v>
      </c>
      <c r="H48" s="20">
        <v>183488</v>
      </c>
    </row>
    <row r="49" spans="2:20">
      <c r="B49" s="20" t="s">
        <v>202</v>
      </c>
      <c r="C49" s="20"/>
      <c r="D49" s="20"/>
      <c r="E49" s="20"/>
      <c r="F49" s="20"/>
      <c r="G49" s="20">
        <f>0+814</f>
        <v>814</v>
      </c>
      <c r="H49" s="20">
        <f>4389+19519</f>
        <v>23908</v>
      </c>
    </row>
    <row r="50" spans="2:20">
      <c r="B50" s="20" t="s">
        <v>73</v>
      </c>
      <c r="C50" s="20"/>
      <c r="D50" s="20"/>
      <c r="E50" s="20"/>
      <c r="F50" s="20"/>
      <c r="G50" s="20">
        <f>35657</f>
        <v>35657</v>
      </c>
      <c r="H50" s="20">
        <v>80219</v>
      </c>
    </row>
    <row r="51" spans="2:20">
      <c r="B51" s="25" t="s">
        <v>208</v>
      </c>
      <c r="C51" s="25"/>
      <c r="D51" s="25"/>
      <c r="E51" s="25"/>
      <c r="F51" s="25"/>
      <c r="G51" s="25">
        <f>SUM(G43:G50)</f>
        <v>449634</v>
      </c>
      <c r="H51" s="25">
        <f>SUM(H43:H50)</f>
        <v>547713</v>
      </c>
    </row>
    <row r="52" spans="2:20">
      <c r="B52" s="20"/>
      <c r="C52" s="20"/>
      <c r="D52" s="20"/>
      <c r="E52" s="20"/>
      <c r="F52" s="20"/>
      <c r="G52" s="20"/>
      <c r="H52" s="20"/>
    </row>
    <row r="53" spans="2:20">
      <c r="B53" s="20" t="s">
        <v>212</v>
      </c>
      <c r="C53" s="20"/>
      <c r="D53" s="20"/>
      <c r="E53" s="20"/>
      <c r="F53" s="20"/>
      <c r="G53" s="20">
        <v>10733</v>
      </c>
      <c r="H53" s="20">
        <v>15605</v>
      </c>
    </row>
    <row r="54" spans="2:20">
      <c r="B54" s="20" t="s">
        <v>237</v>
      </c>
      <c r="C54" s="20"/>
      <c r="D54" s="20"/>
      <c r="E54" s="20"/>
      <c r="F54" s="20"/>
      <c r="G54" s="20">
        <v>7363</v>
      </c>
      <c r="H54" s="20">
        <v>9982</v>
      </c>
    </row>
    <row r="55" spans="2:20">
      <c r="B55" s="20" t="s">
        <v>206</v>
      </c>
      <c r="C55" s="20"/>
      <c r="D55" s="20"/>
      <c r="E55" s="20"/>
      <c r="F55" s="20"/>
      <c r="G55" s="20">
        <f>822+338</f>
        <v>1160</v>
      </c>
      <c r="H55" s="20">
        <f>641+338</f>
        <v>979</v>
      </c>
    </row>
    <row r="56" spans="2:20">
      <c r="B56" s="20" t="s">
        <v>213</v>
      </c>
      <c r="C56" s="20"/>
      <c r="D56" s="20"/>
      <c r="E56" s="20"/>
      <c r="F56" s="20"/>
      <c r="G56" s="20">
        <v>0</v>
      </c>
      <c r="H56" s="20">
        <v>52000</v>
      </c>
    </row>
    <row r="57" spans="2:20">
      <c r="B57" s="20" t="s">
        <v>207</v>
      </c>
      <c r="C57" s="20"/>
      <c r="D57" s="20"/>
      <c r="E57" s="20"/>
      <c r="F57" s="20"/>
      <c r="G57" s="20">
        <f>228677</f>
        <v>228677</v>
      </c>
      <c r="H57" s="20">
        <v>207244</v>
      </c>
    </row>
    <row r="58" spans="2:20">
      <c r="B58" s="20" t="s">
        <v>236</v>
      </c>
      <c r="C58" s="20"/>
      <c r="D58" s="20"/>
      <c r="E58" s="20"/>
      <c r="F58" s="20"/>
      <c r="G58" s="20">
        <f>6945</f>
        <v>6945</v>
      </c>
      <c r="H58" s="20">
        <v>8975</v>
      </c>
    </row>
    <row r="59" spans="2:20">
      <c r="B59" s="20" t="s">
        <v>205</v>
      </c>
      <c r="C59" s="20"/>
      <c r="D59" s="20"/>
      <c r="E59" s="20"/>
      <c r="F59" s="20"/>
      <c r="G59" s="20">
        <f>15359</f>
        <v>15359</v>
      </c>
      <c r="H59" s="20">
        <f>17461+29077</f>
        <v>46538</v>
      </c>
    </row>
    <row r="60" spans="2:20">
      <c r="B60" s="25" t="s">
        <v>209</v>
      </c>
      <c r="C60" s="25"/>
      <c r="D60" s="25"/>
      <c r="E60" s="25"/>
      <c r="F60" s="25"/>
      <c r="G60" s="25">
        <f>SUM(G53:G59)</f>
        <v>270237</v>
      </c>
      <c r="H60" s="25">
        <f>SUM(H53:H59)</f>
        <v>341323</v>
      </c>
    </row>
    <row r="61" spans="2:20">
      <c r="B61" s="20"/>
      <c r="C61" s="20"/>
      <c r="D61" s="20"/>
      <c r="E61" s="20"/>
      <c r="F61" s="20"/>
      <c r="G61" s="20"/>
      <c r="H61" s="20"/>
    </row>
    <row r="62" spans="2:20" s="5" customFormat="1">
      <c r="B62" s="25" t="s">
        <v>210</v>
      </c>
      <c r="C62" s="25"/>
      <c r="D62" s="25"/>
      <c r="E62" s="25"/>
      <c r="F62" s="25"/>
      <c r="G62" s="25">
        <f>G51-G60</f>
        <v>179397</v>
      </c>
      <c r="H62" s="25">
        <f>H51-H60</f>
        <v>206390</v>
      </c>
      <c r="M62"/>
      <c r="N62"/>
      <c r="O62"/>
      <c r="P62"/>
      <c r="Q62"/>
      <c r="R62"/>
      <c r="S62"/>
      <c r="T62"/>
    </row>
    <row r="63" spans="2:20">
      <c r="B63" s="20" t="s">
        <v>211</v>
      </c>
      <c r="C63" s="20"/>
      <c r="D63" s="20"/>
      <c r="E63" s="20"/>
      <c r="F63" s="20"/>
      <c r="G63" s="20">
        <f>G62+G60</f>
        <v>449634</v>
      </c>
      <c r="H63" s="20">
        <f>H62+H60</f>
        <v>547713</v>
      </c>
    </row>
    <row r="64" spans="2:20">
      <c r="M64" s="5"/>
      <c r="N64" s="5"/>
      <c r="O64" s="5"/>
      <c r="P64" s="5"/>
      <c r="Q64" s="5"/>
      <c r="R64" s="5"/>
      <c r="S64" s="5"/>
      <c r="T64" s="5"/>
    </row>
    <row r="71" spans="1:166">
      <c r="B71" t="s">
        <v>437</v>
      </c>
      <c r="H71" s="35">
        <v>1008970</v>
      </c>
      <c r="I71" s="20">
        <f t="shared" ref="I71:N71" si="21">H71*(1+$N$28)</f>
        <v>1160315.5</v>
      </c>
      <c r="J71" s="20">
        <f t="shared" si="21"/>
        <v>1334362.825</v>
      </c>
      <c r="K71" s="20">
        <f t="shared" si="21"/>
        <v>1534517.2487499998</v>
      </c>
      <c r="L71" s="20">
        <f t="shared" si="21"/>
        <v>1764694.8360624996</v>
      </c>
      <c r="M71" s="20">
        <f t="shared" si="21"/>
        <v>2029399.0614718744</v>
      </c>
      <c r="N71" s="20">
        <f t="shared" si="21"/>
        <v>2333808.9206926553</v>
      </c>
    </row>
    <row r="72" spans="1:166" s="20" customFormat="1">
      <c r="A72"/>
      <c r="B72" t="s">
        <v>438</v>
      </c>
      <c r="C72"/>
      <c r="D72"/>
      <c r="E72"/>
      <c r="F72"/>
      <c r="G72"/>
      <c r="H72" s="35"/>
      <c r="I72" s="20">
        <f>I71*$K$31</f>
        <v>64031.914973552477</v>
      </c>
      <c r="J72" s="20">
        <f t="shared" ref="J72:N72" si="22">J71*$K$31</f>
        <v>73636.70221958535</v>
      </c>
      <c r="K72" s="20">
        <f t="shared" si="22"/>
        <v>84682.207552523134</v>
      </c>
      <c r="L72" s="20">
        <f t="shared" si="22"/>
        <v>97384.538685401596</v>
      </c>
      <c r="M72" s="20">
        <f t="shared" si="22"/>
        <v>111992.21948821183</v>
      </c>
      <c r="N72" s="20">
        <f t="shared" si="22"/>
        <v>128791.05241144358</v>
      </c>
      <c r="O72" s="20">
        <f t="shared" ref="O72:AT72" si="23">N72*(1+$N$29)</f>
        <v>127503.14188732914</v>
      </c>
      <c r="P72" s="20">
        <f t="shared" si="23"/>
        <v>126228.11046845585</v>
      </c>
      <c r="Q72" s="20">
        <f t="shared" si="23"/>
        <v>124965.82936377129</v>
      </c>
      <c r="R72" s="20">
        <f t="shared" si="23"/>
        <v>123716.17107013358</v>
      </c>
      <c r="S72" s="20">
        <f t="shared" si="23"/>
        <v>122479.00935943225</v>
      </c>
      <c r="T72" s="20">
        <f t="shared" si="23"/>
        <v>121254.21926583794</v>
      </c>
      <c r="U72" s="20">
        <f t="shared" si="23"/>
        <v>120041.67707317956</v>
      </c>
      <c r="V72" s="20">
        <f t="shared" si="23"/>
        <v>118841.26030244776</v>
      </c>
      <c r="W72" s="20">
        <f t="shared" si="23"/>
        <v>117652.84769942328</v>
      </c>
      <c r="X72" s="20">
        <f t="shared" si="23"/>
        <v>116476.31922242904</v>
      </c>
      <c r="Y72" s="20">
        <f t="shared" si="23"/>
        <v>115311.55603020475</v>
      </c>
      <c r="Z72" s="20">
        <f t="shared" si="23"/>
        <v>114158.44046990271</v>
      </c>
      <c r="AA72" s="20">
        <f t="shared" si="23"/>
        <v>113016.85606520368</v>
      </c>
      <c r="AB72" s="20">
        <f t="shared" si="23"/>
        <v>111886.68750455165</v>
      </c>
      <c r="AC72" s="20">
        <f t="shared" si="23"/>
        <v>110767.82062950614</v>
      </c>
      <c r="AD72" s="20">
        <f t="shared" si="23"/>
        <v>109660.14242321107</v>
      </c>
      <c r="AE72" s="20">
        <f t="shared" si="23"/>
        <v>108563.54099897896</v>
      </c>
      <c r="AF72" s="20">
        <f t="shared" si="23"/>
        <v>107477.90558898918</v>
      </c>
      <c r="AG72" s="20">
        <f t="shared" si="23"/>
        <v>106403.12653309928</v>
      </c>
      <c r="AH72" s="20">
        <f t="shared" si="23"/>
        <v>105339.09526776828</v>
      </c>
      <c r="AI72" s="20">
        <f t="shared" si="23"/>
        <v>104285.7043150906</v>
      </c>
      <c r="AJ72" s="20">
        <f t="shared" si="23"/>
        <v>103242.8472719397</v>
      </c>
      <c r="AK72" s="20">
        <f t="shared" si="23"/>
        <v>102210.41879922029</v>
      </c>
      <c r="AL72" s="20">
        <f t="shared" si="23"/>
        <v>101188.3146112281</v>
      </c>
      <c r="AM72" s="20">
        <f t="shared" si="23"/>
        <v>100176.43146511582</v>
      </c>
      <c r="AN72" s="20">
        <f t="shared" si="23"/>
        <v>99174.667150464666</v>
      </c>
      <c r="AO72" s="20">
        <f t="shared" si="23"/>
        <v>98182.920478960019</v>
      </c>
      <c r="AP72" s="20">
        <f t="shared" si="23"/>
        <v>97201.091274170423</v>
      </c>
      <c r="AQ72" s="20">
        <f t="shared" si="23"/>
        <v>96229.080361428714</v>
      </c>
      <c r="AR72" s="20">
        <f t="shared" si="23"/>
        <v>95266.789557814423</v>
      </c>
      <c r="AS72" s="20">
        <f t="shared" si="23"/>
        <v>94314.121662236284</v>
      </c>
      <c r="AT72" s="20">
        <f t="shared" si="23"/>
        <v>93370.980445613925</v>
      </c>
      <c r="AU72" s="20">
        <f t="shared" ref="AU72:BZ72" si="24">AT72*(1+$N$29)</f>
        <v>92437.270641157782</v>
      </c>
      <c r="AV72" s="20">
        <f t="shared" si="24"/>
        <v>91512.897934746201</v>
      </c>
      <c r="AW72" s="20">
        <f t="shared" si="24"/>
        <v>90597.768955398744</v>
      </c>
      <c r="AX72" s="20">
        <f t="shared" si="24"/>
        <v>89691.79126584476</v>
      </c>
      <c r="AY72" s="20">
        <f t="shared" si="24"/>
        <v>88794.873353186311</v>
      </c>
      <c r="AZ72" s="20">
        <f t="shared" si="24"/>
        <v>87906.924619654441</v>
      </c>
      <c r="BA72" s="20">
        <f t="shared" si="24"/>
        <v>87027.855373457889</v>
      </c>
      <c r="BB72" s="20">
        <f t="shared" si="24"/>
        <v>86157.576819723312</v>
      </c>
      <c r="BC72" s="20">
        <f t="shared" si="24"/>
        <v>85296.00105152608</v>
      </c>
      <c r="BD72" s="20">
        <f t="shared" si="24"/>
        <v>84443.041041010816</v>
      </c>
      <c r="BE72" s="20">
        <f t="shared" si="24"/>
        <v>83598.610630600713</v>
      </c>
      <c r="BF72" s="20">
        <f t="shared" si="24"/>
        <v>82762.624524294704</v>
      </c>
      <c r="BG72" s="20">
        <f t="shared" si="24"/>
        <v>81934.998279051753</v>
      </c>
      <c r="BH72" s="20">
        <f t="shared" si="24"/>
        <v>81115.648296261235</v>
      </c>
      <c r="BI72" s="20">
        <f t="shared" si="24"/>
        <v>80304.49181329862</v>
      </c>
      <c r="BJ72" s="20">
        <f t="shared" si="24"/>
        <v>79501.446895165631</v>
      </c>
      <c r="BK72" s="20">
        <f t="shared" si="24"/>
        <v>78706.432426213971</v>
      </c>
      <c r="BL72" s="20">
        <f t="shared" si="24"/>
        <v>77919.368101951826</v>
      </c>
      <c r="BM72" s="20">
        <f t="shared" si="24"/>
        <v>77140.174420932308</v>
      </c>
      <c r="BN72" s="20">
        <f t="shared" si="24"/>
        <v>76368.772676722991</v>
      </c>
      <c r="BO72" s="20">
        <f t="shared" si="24"/>
        <v>75605.084949955766</v>
      </c>
      <c r="BP72" s="20">
        <f t="shared" si="24"/>
        <v>74849.034100456207</v>
      </c>
      <c r="BQ72" s="20">
        <f t="shared" si="24"/>
        <v>74100.543759451641</v>
      </c>
      <c r="BR72" s="20">
        <f t="shared" si="24"/>
        <v>73359.538321857122</v>
      </c>
      <c r="BS72" s="20">
        <f t="shared" si="24"/>
        <v>72625.942938638545</v>
      </c>
      <c r="BT72" s="20">
        <f t="shared" si="24"/>
        <v>71899.683509252165</v>
      </c>
      <c r="BU72" s="20">
        <f t="shared" si="24"/>
        <v>71180.686674159646</v>
      </c>
      <c r="BV72" s="20">
        <f t="shared" si="24"/>
        <v>70468.879807418052</v>
      </c>
      <c r="BW72" s="20">
        <f t="shared" si="24"/>
        <v>69764.191009343878</v>
      </c>
      <c r="BX72" s="20">
        <f t="shared" si="24"/>
        <v>69066.549099250435</v>
      </c>
      <c r="BY72" s="20">
        <f t="shared" si="24"/>
        <v>68375.883608257936</v>
      </c>
      <c r="BZ72" s="20">
        <f t="shared" si="24"/>
        <v>67692.124772175361</v>
      </c>
      <c r="CA72" s="20">
        <f t="shared" ref="CA72:DF72" si="25">BZ72*(1+$N$29)</f>
        <v>67015.203524453609</v>
      </c>
      <c r="CB72" s="20">
        <f t="shared" si="25"/>
        <v>66345.051489209072</v>
      </c>
      <c r="CC72" s="20">
        <f t="shared" si="25"/>
        <v>65681.600974316985</v>
      </c>
      <c r="CD72" s="20">
        <f t="shared" si="25"/>
        <v>65024.784964573817</v>
      </c>
      <c r="CE72" s="20">
        <f t="shared" si="25"/>
        <v>64374.537114928076</v>
      </c>
      <c r="CF72" s="20">
        <f t="shared" si="25"/>
        <v>63730.791743778798</v>
      </c>
      <c r="CG72" s="20">
        <f t="shared" si="25"/>
        <v>63093.483826341013</v>
      </c>
      <c r="CH72" s="20">
        <f t="shared" si="25"/>
        <v>62462.5489880776</v>
      </c>
      <c r="CI72" s="20">
        <f t="shared" si="25"/>
        <v>61837.923498196826</v>
      </c>
      <c r="CJ72" s="20">
        <f t="shared" si="25"/>
        <v>61219.544263214855</v>
      </c>
      <c r="CK72" s="20">
        <f t="shared" si="25"/>
        <v>60607.348820582709</v>
      </c>
      <c r="CL72" s="20">
        <f t="shared" si="25"/>
        <v>60001.275332376885</v>
      </c>
      <c r="CM72" s="20">
        <f t="shared" si="25"/>
        <v>59401.262579053116</v>
      </c>
      <c r="CN72" s="20">
        <f t="shared" si="25"/>
        <v>58807.249953262588</v>
      </c>
      <c r="CO72" s="20">
        <f t="shared" si="25"/>
        <v>58219.177453729964</v>
      </c>
      <c r="CP72" s="20">
        <f t="shared" si="25"/>
        <v>57636.985679192665</v>
      </c>
      <c r="CQ72" s="20">
        <f t="shared" si="25"/>
        <v>57060.615822400738</v>
      </c>
      <c r="CR72" s="20">
        <f t="shared" si="25"/>
        <v>56490.00966417673</v>
      </c>
      <c r="CS72" s="20">
        <f t="shared" si="25"/>
        <v>55925.109567534964</v>
      </c>
      <c r="CT72" s="20">
        <f t="shared" si="25"/>
        <v>55365.858471859618</v>
      </c>
      <c r="CU72" s="20">
        <f t="shared" si="25"/>
        <v>54812.199887141018</v>
      </c>
      <c r="CV72" s="20">
        <f t="shared" si="25"/>
        <v>54264.07788826961</v>
      </c>
      <c r="CW72" s="20">
        <f t="shared" si="25"/>
        <v>53721.437109386912</v>
      </c>
      <c r="CX72" s="20">
        <f t="shared" si="25"/>
        <v>53184.222738293043</v>
      </c>
      <c r="CY72" s="20">
        <f t="shared" si="25"/>
        <v>52652.380510910116</v>
      </c>
      <c r="CZ72" s="20">
        <f t="shared" si="25"/>
        <v>52125.856705801016</v>
      </c>
      <c r="DA72" s="20">
        <f t="shared" si="25"/>
        <v>51604.598138743007</v>
      </c>
      <c r="DB72" s="20">
        <f t="shared" si="25"/>
        <v>51088.552157355574</v>
      </c>
      <c r="DC72" s="20">
        <f t="shared" si="25"/>
        <v>50577.666635782021</v>
      </c>
      <c r="DD72" s="20">
        <f t="shared" si="25"/>
        <v>50071.889969424199</v>
      </c>
      <c r="DE72" s="20">
        <f t="shared" si="25"/>
        <v>49571.171069729957</v>
      </c>
      <c r="DF72" s="20">
        <f t="shared" si="25"/>
        <v>49075.459359032655</v>
      </c>
      <c r="DG72" s="20">
        <f t="shared" ref="DG72:EL72" si="26">DF72*(1+$N$29)</f>
        <v>48584.70476544233</v>
      </c>
      <c r="DH72" s="20">
        <f t="shared" si="26"/>
        <v>48098.857717787905</v>
      </c>
      <c r="DI72" s="20">
        <f t="shared" si="26"/>
        <v>47617.869140610026</v>
      </c>
      <c r="DJ72" s="20">
        <f t="shared" si="26"/>
        <v>47141.690449203925</v>
      </c>
      <c r="DK72" s="20">
        <f t="shared" si="26"/>
        <v>46670.273544711883</v>
      </c>
      <c r="DL72" s="20">
        <f t="shared" si="26"/>
        <v>46203.570809264762</v>
      </c>
      <c r="DM72" s="20">
        <f t="shared" si="26"/>
        <v>45741.535101172114</v>
      </c>
      <c r="DN72" s="20">
        <f t="shared" si="26"/>
        <v>45284.119750160389</v>
      </c>
      <c r="DO72" s="20">
        <f t="shared" si="26"/>
        <v>44831.278552658783</v>
      </c>
      <c r="DP72" s="20">
        <f t="shared" si="26"/>
        <v>44382.965767132198</v>
      </c>
      <c r="DQ72" s="20">
        <f t="shared" si="26"/>
        <v>43939.136109460873</v>
      </c>
      <c r="DR72" s="20">
        <f t="shared" si="26"/>
        <v>43499.744748366262</v>
      </c>
      <c r="DS72" s="20">
        <f t="shared" si="26"/>
        <v>43064.747300882598</v>
      </c>
      <c r="DT72" s="20">
        <f t="shared" si="26"/>
        <v>42634.099827873775</v>
      </c>
      <c r="DU72" s="20">
        <f t="shared" si="26"/>
        <v>42207.758829595034</v>
      </c>
      <c r="DV72" s="20">
        <f t="shared" si="26"/>
        <v>41785.681241299084</v>
      </c>
      <c r="DW72" s="20">
        <f t="shared" si="26"/>
        <v>41367.824428886095</v>
      </c>
      <c r="DX72" s="20">
        <f t="shared" si="26"/>
        <v>40954.146184597237</v>
      </c>
      <c r="DY72" s="20">
        <f t="shared" si="26"/>
        <v>40544.604722751261</v>
      </c>
      <c r="DZ72" s="20">
        <f t="shared" si="26"/>
        <v>40139.158675523751</v>
      </c>
      <c r="EA72" s="20">
        <f t="shared" si="26"/>
        <v>39737.767088768516</v>
      </c>
      <c r="EB72" s="20">
        <f t="shared" si="26"/>
        <v>39340.389417880833</v>
      </c>
      <c r="EC72" s="20">
        <f t="shared" si="26"/>
        <v>38946.985523702024</v>
      </c>
      <c r="ED72" s="20">
        <f t="shared" si="26"/>
        <v>38557.515668465006</v>
      </c>
      <c r="EE72" s="20">
        <f t="shared" si="26"/>
        <v>38171.940511780354</v>
      </c>
      <c r="EF72" s="20">
        <f t="shared" si="26"/>
        <v>37790.221106662553</v>
      </c>
      <c r="EG72" s="20">
        <f t="shared" si="26"/>
        <v>37412.318895595927</v>
      </c>
      <c r="EH72" s="20">
        <f t="shared" si="26"/>
        <v>37038.19570663997</v>
      </c>
      <c r="EI72" s="20">
        <f t="shared" si="26"/>
        <v>36667.813749573572</v>
      </c>
      <c r="EJ72" s="20">
        <f t="shared" si="26"/>
        <v>36301.135612077836</v>
      </c>
      <c r="EK72" s="20">
        <f t="shared" si="26"/>
        <v>35938.12425595706</v>
      </c>
      <c r="EL72" s="20">
        <f t="shared" si="26"/>
        <v>35578.743013397492</v>
      </c>
      <c r="EM72" s="20">
        <f t="shared" ref="EM72:FJ72" si="27">EL72*(1+$N$29)</f>
        <v>35222.955583263516</v>
      </c>
      <c r="EN72" s="20">
        <f t="shared" si="27"/>
        <v>34870.726027430879</v>
      </c>
      <c r="EO72" s="20">
        <f t="shared" si="27"/>
        <v>34522.018767156573</v>
      </c>
      <c r="EP72" s="20">
        <f t="shared" si="27"/>
        <v>34176.79857948501</v>
      </c>
      <c r="EQ72" s="20">
        <f t="shared" si="27"/>
        <v>33835.030593690157</v>
      </c>
      <c r="ER72" s="20">
        <f t="shared" si="27"/>
        <v>33496.680287753254</v>
      </c>
      <c r="ES72" s="20">
        <f t="shared" si="27"/>
        <v>33161.71348487572</v>
      </c>
      <c r="ET72" s="20">
        <f t="shared" si="27"/>
        <v>32830.096350026965</v>
      </c>
      <c r="EU72" s="20">
        <f t="shared" si="27"/>
        <v>32501.795386526694</v>
      </c>
      <c r="EV72" s="20">
        <f t="shared" si="27"/>
        <v>32176.777432661427</v>
      </c>
      <c r="EW72" s="20">
        <f t="shared" si="27"/>
        <v>31855.009658334813</v>
      </c>
      <c r="EX72" s="20">
        <f t="shared" si="27"/>
        <v>31536.459561751464</v>
      </c>
      <c r="EY72" s="20">
        <f t="shared" si="27"/>
        <v>31221.094966133951</v>
      </c>
      <c r="EZ72" s="20">
        <f t="shared" si="27"/>
        <v>30908.88401647261</v>
      </c>
      <c r="FA72" s="20">
        <f t="shared" si="27"/>
        <v>30599.795176307882</v>
      </c>
      <c r="FB72" s="20">
        <f t="shared" si="27"/>
        <v>30293.797224544804</v>
      </c>
      <c r="FC72" s="20">
        <f t="shared" si="27"/>
        <v>29990.859252299357</v>
      </c>
      <c r="FD72" s="20">
        <f t="shared" si="27"/>
        <v>29690.950659776361</v>
      </c>
      <c r="FE72" s="20">
        <f t="shared" si="27"/>
        <v>29394.041153178598</v>
      </c>
      <c r="FF72" s="20">
        <f t="shared" si="27"/>
        <v>29100.100741646813</v>
      </c>
      <c r="FG72" s="20">
        <f t="shared" si="27"/>
        <v>28809.099734230345</v>
      </c>
      <c r="FH72" s="20">
        <f t="shared" si="27"/>
        <v>28521.008736888041</v>
      </c>
      <c r="FI72" s="20">
        <f t="shared" si="27"/>
        <v>28235.798649519162</v>
      </c>
      <c r="FJ72" s="20">
        <f t="shared" si="27"/>
        <v>27953.440663023968</v>
      </c>
    </row>
    <row r="73" spans="1:166" s="20" customFormat="1">
      <c r="A73"/>
      <c r="C73"/>
      <c r="D73"/>
      <c r="E73"/>
      <c r="F73"/>
      <c r="G73"/>
    </row>
    <row r="74" spans="1:166">
      <c r="B74" t="s">
        <v>439</v>
      </c>
      <c r="H74" s="35">
        <v>1008970</v>
      </c>
      <c r="I74" s="20">
        <f>H74*(1+T28)</f>
        <v>1043274.98</v>
      </c>
      <c r="J74" s="20">
        <f>I74*(1+U28)</f>
        <v>1043274.98</v>
      </c>
      <c r="K74" s="20">
        <f t="shared" ref="K74:N74" si="28">J74*(1+V28)</f>
        <v>1043274.98</v>
      </c>
      <c r="L74" s="20">
        <f t="shared" si="28"/>
        <v>1043274.98</v>
      </c>
      <c r="M74" s="20">
        <f t="shared" si="28"/>
        <v>1043274.98</v>
      </c>
      <c r="N74" s="20">
        <f t="shared" si="28"/>
        <v>1043274.98</v>
      </c>
    </row>
    <row r="75" spans="1:166" s="20" customFormat="1">
      <c r="A75"/>
      <c r="B75" t="s">
        <v>440</v>
      </c>
      <c r="C75"/>
      <c r="D75"/>
      <c r="E75"/>
      <c r="F75"/>
      <c r="G75"/>
      <c r="I75" s="20">
        <f>I74*$K$31</f>
        <v>57573.043550133269</v>
      </c>
      <c r="J75" s="20">
        <f t="shared" ref="J75:N75" si="29">J74*$K$31</f>
        <v>57573.043550133269</v>
      </c>
      <c r="K75" s="20">
        <f t="shared" si="29"/>
        <v>57573.043550133269</v>
      </c>
      <c r="L75" s="20">
        <f t="shared" si="29"/>
        <v>57573.043550133269</v>
      </c>
      <c r="M75" s="20">
        <f t="shared" si="29"/>
        <v>57573.043550133269</v>
      </c>
      <c r="N75" s="20">
        <f t="shared" si="29"/>
        <v>57573.043550133269</v>
      </c>
      <c r="O75" s="20">
        <f t="shared" ref="O75:AT75" si="30">N75*(1+$T$29)</f>
        <v>56997.313114631936</v>
      </c>
      <c r="P75" s="20">
        <f t="shared" si="30"/>
        <v>56427.339983485617</v>
      </c>
      <c r="Q75" s="20">
        <f t="shared" si="30"/>
        <v>55863.066583650761</v>
      </c>
      <c r="R75" s="20">
        <f t="shared" si="30"/>
        <v>55304.435917814255</v>
      </c>
      <c r="S75" s="20">
        <f t="shared" si="30"/>
        <v>54751.391558636111</v>
      </c>
      <c r="T75" s="20">
        <f t="shared" si="30"/>
        <v>54203.877643049753</v>
      </c>
      <c r="U75" s="20">
        <f t="shared" si="30"/>
        <v>53661.838866619255</v>
      </c>
      <c r="V75" s="20">
        <f t="shared" si="30"/>
        <v>53125.220477953058</v>
      </c>
      <c r="W75" s="20">
        <f t="shared" si="30"/>
        <v>52593.96827317353</v>
      </c>
      <c r="X75" s="20">
        <f t="shared" si="30"/>
        <v>52068.028590441798</v>
      </c>
      <c r="Y75" s="20">
        <f t="shared" si="30"/>
        <v>51547.34830453738</v>
      </c>
      <c r="Z75" s="20">
        <f t="shared" si="30"/>
        <v>51031.874821492005</v>
      </c>
      <c r="AA75" s="20">
        <f t="shared" si="30"/>
        <v>50521.556073277083</v>
      </c>
      <c r="AB75" s="20">
        <f t="shared" si="30"/>
        <v>50016.34051254431</v>
      </c>
      <c r="AC75" s="20">
        <f t="shared" si="30"/>
        <v>49516.177107418865</v>
      </c>
      <c r="AD75" s="20">
        <f t="shared" si="30"/>
        <v>49021.015336344673</v>
      </c>
      <c r="AE75" s="20">
        <f t="shared" si="30"/>
        <v>48530.805182981225</v>
      </c>
      <c r="AF75" s="20">
        <f t="shared" si="30"/>
        <v>48045.497131151409</v>
      </c>
      <c r="AG75" s="20">
        <f t="shared" si="30"/>
        <v>47565.042159839897</v>
      </c>
      <c r="AH75" s="20">
        <f t="shared" si="30"/>
        <v>47089.391738241495</v>
      </c>
      <c r="AI75" s="20">
        <f t="shared" si="30"/>
        <v>46618.497820859076</v>
      </c>
      <c r="AJ75" s="20">
        <f t="shared" si="30"/>
        <v>46152.312842650485</v>
      </c>
      <c r="AK75" s="20">
        <f t="shared" si="30"/>
        <v>45690.789714223982</v>
      </c>
      <c r="AL75" s="20">
        <f t="shared" si="30"/>
        <v>45233.881817081739</v>
      </c>
      <c r="AM75" s="20">
        <f t="shared" si="30"/>
        <v>44781.542998910925</v>
      </c>
      <c r="AN75" s="20">
        <f t="shared" si="30"/>
        <v>44333.727568921815</v>
      </c>
      <c r="AO75" s="20">
        <f t="shared" si="30"/>
        <v>43890.390293232595</v>
      </c>
      <c r="AP75" s="20">
        <f t="shared" si="30"/>
        <v>43451.48639030027</v>
      </c>
      <c r="AQ75" s="20">
        <f t="shared" si="30"/>
        <v>43016.971526397268</v>
      </c>
      <c r="AR75" s="20">
        <f t="shared" si="30"/>
        <v>42586.801811133293</v>
      </c>
      <c r="AS75" s="20">
        <f t="shared" si="30"/>
        <v>42160.933793021963</v>
      </c>
      <c r="AT75" s="20">
        <f t="shared" si="30"/>
        <v>41739.324455091744</v>
      </c>
      <c r="AU75" s="20">
        <f t="shared" ref="AU75:BZ75" si="31">AT75*(1+$T$29)</f>
        <v>41321.931210540824</v>
      </c>
      <c r="AV75" s="20">
        <f t="shared" si="31"/>
        <v>40908.711898435417</v>
      </c>
      <c r="AW75" s="20">
        <f t="shared" si="31"/>
        <v>40499.624779451064</v>
      </c>
      <c r="AX75" s="20">
        <f t="shared" si="31"/>
        <v>40094.628531656555</v>
      </c>
      <c r="AY75" s="20">
        <f t="shared" si="31"/>
        <v>39693.682246339988</v>
      </c>
      <c r="AZ75" s="20">
        <f t="shared" si="31"/>
        <v>39296.745423876586</v>
      </c>
      <c r="BA75" s="20">
        <f t="shared" si="31"/>
        <v>38903.77796963782</v>
      </c>
      <c r="BB75" s="20">
        <f t="shared" si="31"/>
        <v>38514.74018994144</v>
      </c>
      <c r="BC75" s="20">
        <f t="shared" si="31"/>
        <v>38129.592788042028</v>
      </c>
      <c r="BD75" s="20">
        <f t="shared" si="31"/>
        <v>37748.296860161608</v>
      </c>
      <c r="BE75" s="20">
        <f t="shared" si="31"/>
        <v>37370.813891559992</v>
      </c>
      <c r="BF75" s="20">
        <f t="shared" si="31"/>
        <v>36997.105752644391</v>
      </c>
      <c r="BG75" s="20">
        <f t="shared" si="31"/>
        <v>36627.134695117944</v>
      </c>
      <c r="BH75" s="20">
        <f t="shared" si="31"/>
        <v>36260.863348166764</v>
      </c>
      <c r="BI75" s="20">
        <f t="shared" si="31"/>
        <v>35898.254714685099</v>
      </c>
      <c r="BJ75" s="20">
        <f t="shared" si="31"/>
        <v>35539.272167538249</v>
      </c>
      <c r="BK75" s="20">
        <f t="shared" si="31"/>
        <v>35183.879445862869</v>
      </c>
      <c r="BL75" s="20">
        <f t="shared" si="31"/>
        <v>34832.040651404241</v>
      </c>
      <c r="BM75" s="20">
        <f t="shared" si="31"/>
        <v>34483.720244890195</v>
      </c>
      <c r="BN75" s="20">
        <f t="shared" si="31"/>
        <v>34138.883042441295</v>
      </c>
      <c r="BO75" s="20">
        <f t="shared" si="31"/>
        <v>33797.494212016885</v>
      </c>
      <c r="BP75" s="20">
        <f t="shared" si="31"/>
        <v>33459.519269896715</v>
      </c>
      <c r="BQ75" s="20">
        <f t="shared" si="31"/>
        <v>33124.924077197749</v>
      </c>
      <c r="BR75" s="20">
        <f t="shared" si="31"/>
        <v>32793.674836425773</v>
      </c>
      <c r="BS75" s="20">
        <f t="shared" si="31"/>
        <v>32465.738088061516</v>
      </c>
      <c r="BT75" s="20">
        <f t="shared" si="31"/>
        <v>32141.080707180899</v>
      </c>
      <c r="BU75" s="20">
        <f t="shared" si="31"/>
        <v>31819.669900109089</v>
      </c>
      <c r="BV75" s="20">
        <f t="shared" si="31"/>
        <v>31501.473201107998</v>
      </c>
      <c r="BW75" s="20">
        <f t="shared" si="31"/>
        <v>31186.458469096917</v>
      </c>
      <c r="BX75" s="20">
        <f t="shared" si="31"/>
        <v>30874.593884405946</v>
      </c>
      <c r="BY75" s="20">
        <f t="shared" si="31"/>
        <v>30565.847945561887</v>
      </c>
      <c r="BZ75" s="20">
        <f t="shared" si="31"/>
        <v>30260.189466106269</v>
      </c>
      <c r="CA75" s="20">
        <f t="shared" ref="CA75:DF75" si="32">BZ75*(1+$T$29)</f>
        <v>29957.587571445205</v>
      </c>
      <c r="CB75" s="20">
        <f t="shared" si="32"/>
        <v>29658.011695730751</v>
      </c>
      <c r="CC75" s="20">
        <f t="shared" si="32"/>
        <v>29361.431578773445</v>
      </c>
      <c r="CD75" s="20">
        <f t="shared" si="32"/>
        <v>29067.817262985711</v>
      </c>
      <c r="CE75" s="20">
        <f t="shared" si="32"/>
        <v>28777.139090355853</v>
      </c>
      <c r="CF75" s="20">
        <f t="shared" si="32"/>
        <v>28489.367699452294</v>
      </c>
      <c r="CG75" s="20">
        <f t="shared" si="32"/>
        <v>28204.474022457769</v>
      </c>
      <c r="CH75" s="20">
        <f t="shared" si="32"/>
        <v>27922.429282233192</v>
      </c>
      <c r="CI75" s="20">
        <f t="shared" si="32"/>
        <v>27643.20498941086</v>
      </c>
      <c r="CJ75" s="20">
        <f t="shared" si="32"/>
        <v>27366.772939516752</v>
      </c>
      <c r="CK75" s="20">
        <f t="shared" si="32"/>
        <v>27093.105210121583</v>
      </c>
      <c r="CL75" s="20">
        <f t="shared" si="32"/>
        <v>26822.174158020367</v>
      </c>
      <c r="CM75" s="20">
        <f t="shared" si="32"/>
        <v>26553.952416440163</v>
      </c>
      <c r="CN75" s="20">
        <f t="shared" si="32"/>
        <v>26288.412892275763</v>
      </c>
      <c r="CO75" s="20">
        <f t="shared" si="32"/>
        <v>26025.528763353006</v>
      </c>
      <c r="CP75" s="20">
        <f t="shared" si="32"/>
        <v>25765.273475719478</v>
      </c>
      <c r="CQ75" s="20">
        <f t="shared" si="32"/>
        <v>25507.620740962284</v>
      </c>
      <c r="CR75" s="20">
        <f t="shared" si="32"/>
        <v>25252.54453355266</v>
      </c>
      <c r="CS75" s="20">
        <f t="shared" si="32"/>
        <v>25000.019088217134</v>
      </c>
      <c r="CT75" s="20">
        <f t="shared" si="32"/>
        <v>24750.018897334961</v>
      </c>
      <c r="CU75" s="20">
        <f t="shared" si="32"/>
        <v>24502.518708361611</v>
      </c>
      <c r="CV75" s="20">
        <f t="shared" si="32"/>
        <v>24257.493521277996</v>
      </c>
      <c r="CW75" s="20">
        <f t="shared" si="32"/>
        <v>24014.918586065218</v>
      </c>
      <c r="CX75" s="20">
        <f t="shared" si="32"/>
        <v>23774.769400204565</v>
      </c>
      <c r="CY75" s="20">
        <f t="shared" si="32"/>
        <v>23537.021706202519</v>
      </c>
      <c r="CZ75" s="20">
        <f t="shared" si="32"/>
        <v>23301.651489140495</v>
      </c>
      <c r="DA75" s="20">
        <f t="shared" si="32"/>
        <v>23068.634974249089</v>
      </c>
      <c r="DB75" s="20">
        <f t="shared" si="32"/>
        <v>22837.948624506596</v>
      </c>
      <c r="DC75" s="20">
        <f t="shared" si="32"/>
        <v>22609.56913826153</v>
      </c>
      <c r="DD75" s="20">
        <f t="shared" si="32"/>
        <v>22383.473446878914</v>
      </c>
      <c r="DE75" s="20">
        <f t="shared" si="32"/>
        <v>22159.638712410124</v>
      </c>
      <c r="DF75" s="20">
        <f t="shared" si="32"/>
        <v>21938.042325286024</v>
      </c>
      <c r="DG75" s="20">
        <f t="shared" ref="DG75:EL75" si="33">DF75*(1+$T$29)</f>
        <v>21718.661902033164</v>
      </c>
      <c r="DH75" s="20">
        <f t="shared" si="33"/>
        <v>21501.475283012831</v>
      </c>
      <c r="DI75" s="20">
        <f t="shared" si="33"/>
        <v>21286.460530182703</v>
      </c>
      <c r="DJ75" s="20">
        <f t="shared" si="33"/>
        <v>21073.595924880876</v>
      </c>
      <c r="DK75" s="20">
        <f t="shared" si="33"/>
        <v>20862.859965632066</v>
      </c>
      <c r="DL75" s="20">
        <f t="shared" si="33"/>
        <v>20654.231365975746</v>
      </c>
      <c r="DM75" s="20">
        <f t="shared" si="33"/>
        <v>20447.689052315989</v>
      </c>
      <c r="DN75" s="20">
        <f t="shared" si="33"/>
        <v>20243.212161792828</v>
      </c>
      <c r="DO75" s="20">
        <f t="shared" si="33"/>
        <v>20040.780040174901</v>
      </c>
      <c r="DP75" s="20">
        <f t="shared" si="33"/>
        <v>19840.372239773151</v>
      </c>
      <c r="DQ75" s="20">
        <f t="shared" si="33"/>
        <v>19641.968517375419</v>
      </c>
      <c r="DR75" s="20">
        <f t="shared" si="33"/>
        <v>19445.548832201664</v>
      </c>
      <c r="DS75" s="20">
        <f t="shared" si="33"/>
        <v>19251.093343879649</v>
      </c>
      <c r="DT75" s="20">
        <f t="shared" si="33"/>
        <v>19058.582410440853</v>
      </c>
      <c r="DU75" s="20">
        <f t="shared" si="33"/>
        <v>18867.996586336445</v>
      </c>
      <c r="DV75" s="20">
        <f t="shared" si="33"/>
        <v>18679.316620473081</v>
      </c>
      <c r="DW75" s="20">
        <f t="shared" si="33"/>
        <v>18492.52345426835</v>
      </c>
      <c r="DX75" s="20">
        <f t="shared" si="33"/>
        <v>18307.598219725667</v>
      </c>
      <c r="DY75" s="20">
        <f t="shared" si="33"/>
        <v>18124.52223752841</v>
      </c>
      <c r="DZ75" s="20">
        <f t="shared" si="33"/>
        <v>17943.277015153126</v>
      </c>
      <c r="EA75" s="20">
        <f t="shared" si="33"/>
        <v>17763.844245001594</v>
      </c>
      <c r="EB75" s="20">
        <f t="shared" si="33"/>
        <v>17586.205802551576</v>
      </c>
      <c r="EC75" s="20">
        <f t="shared" si="33"/>
        <v>17410.343744526061</v>
      </c>
      <c r="ED75" s="20">
        <f t="shared" si="33"/>
        <v>17236.2403070808</v>
      </c>
      <c r="EE75" s="20">
        <f t="shared" si="33"/>
        <v>17063.877904009991</v>
      </c>
      <c r="EF75" s="20">
        <f t="shared" si="33"/>
        <v>16893.239124969892</v>
      </c>
      <c r="EG75" s="20">
        <f t="shared" si="33"/>
        <v>16724.306733720194</v>
      </c>
      <c r="EH75" s="20">
        <f t="shared" si="33"/>
        <v>16557.06366638299</v>
      </c>
      <c r="EI75" s="20">
        <f t="shared" si="33"/>
        <v>16391.49302971916</v>
      </c>
      <c r="EJ75" s="20">
        <f t="shared" si="33"/>
        <v>16227.578099421969</v>
      </c>
      <c r="EK75" s="20">
        <f t="shared" si="33"/>
        <v>16065.30231842775</v>
      </c>
      <c r="EL75" s="20">
        <f t="shared" si="33"/>
        <v>15904.649295243473</v>
      </c>
      <c r="EM75" s="20">
        <f t="shared" ref="EM75:FB75" si="34">EL75*(1+$T$29)</f>
        <v>15745.602802291038</v>
      </c>
      <c r="EN75" s="20">
        <f t="shared" si="34"/>
        <v>15588.146774268127</v>
      </c>
      <c r="EO75" s="20">
        <f t="shared" si="34"/>
        <v>15432.265306525445</v>
      </c>
      <c r="EP75" s="20">
        <f t="shared" si="34"/>
        <v>15277.942653460192</v>
      </c>
      <c r="EQ75" s="20">
        <f t="shared" si="34"/>
        <v>15125.16322692559</v>
      </c>
      <c r="ER75" s="20">
        <f t="shared" si="34"/>
        <v>14973.911594656334</v>
      </c>
      <c r="ES75" s="20">
        <f t="shared" si="34"/>
        <v>14824.17247870977</v>
      </c>
      <c r="ET75" s="20">
        <f t="shared" si="34"/>
        <v>14675.930753922672</v>
      </c>
      <c r="EU75" s="20">
        <f t="shared" si="34"/>
        <v>14529.171446383445</v>
      </c>
      <c r="EV75" s="20">
        <f t="shared" si="34"/>
        <v>14383.879731919611</v>
      </c>
      <c r="EW75" s="20">
        <f t="shared" si="34"/>
        <v>14240.040934600414</v>
      </c>
      <c r="EX75" s="20">
        <f t="shared" si="34"/>
        <v>14097.64052525441</v>
      </c>
      <c r="EY75" s="20">
        <f t="shared" si="34"/>
        <v>13956.664120001866</v>
      </c>
      <c r="EZ75" s="20">
        <f t="shared" si="34"/>
        <v>13817.097478801847</v>
      </c>
      <c r="FA75" s="20">
        <f t="shared" si="34"/>
        <v>13678.926504013829</v>
      </c>
      <c r="FB75" s="20">
        <f t="shared" si="34"/>
        <v>13542.13723897369</v>
      </c>
    </row>
  </sheetData>
  <mergeCells count="4">
    <mergeCell ref="I1:N1"/>
    <mergeCell ref="M27:N27"/>
    <mergeCell ref="P27:Q27"/>
    <mergeCell ref="S27:T27"/>
  </mergeCells>
  <phoneticPr fontId="22" type="noConversion"/>
  <hyperlinks>
    <hyperlink ref="A1" location="Main!A1" display="Main" xr:uid="{ED58F626-A02F-0847-97BA-97EBECF0F2B2}"/>
  </hyperlinks>
  <pageMargins left="0.7" right="0.7" top="0.75" bottom="0.75" header="0.3" footer="0.3"/>
  <pageSetup paperSize="9" orientation="portrait" horizontalDpi="0" verticalDpi="0"/>
  <ignoredErrors>
    <ignoredError sqref="F36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44AA-1C73-294D-8061-6EDAF68EF5B2}">
  <dimension ref="A1:K21"/>
  <sheetViews>
    <sheetView zoomScale="134" workbookViewId="0">
      <selection activeCell="D6" sqref="D6"/>
    </sheetView>
  </sheetViews>
  <sheetFormatPr baseColWidth="10" defaultRowHeight="13"/>
  <cols>
    <col min="1" max="1" width="4.83203125" bestFit="1" customWidth="1"/>
    <col min="2" max="2" width="18.83203125" customWidth="1"/>
    <col min="3" max="3" width="17.5" customWidth="1"/>
    <col min="4" max="4" width="16" customWidth="1"/>
  </cols>
  <sheetData>
    <row r="1" spans="1:8">
      <c r="A1" s="32" t="s">
        <v>114</v>
      </c>
    </row>
    <row r="2" spans="1:8">
      <c r="B2" s="5" t="s">
        <v>166</v>
      </c>
      <c r="C2" s="41">
        <f>((Main!K5/(Main!K5+Main!K7))*C4)+((Main!K7/(Main!K5+Main!K7))*C10*(1-C13))</f>
        <v>8.0502273504638983E-2</v>
      </c>
      <c r="H2" s="44" t="s">
        <v>173</v>
      </c>
    </row>
    <row r="3" spans="1:8">
      <c r="C3" s="40"/>
      <c r="H3" s="34" t="s">
        <v>156</v>
      </c>
    </row>
    <row r="4" spans="1:8">
      <c r="B4" s="5" t="s">
        <v>167</v>
      </c>
      <c r="C4" s="41">
        <f>C5+C6*(C8)</f>
        <v>8.7574999999999986E-2</v>
      </c>
      <c r="H4" s="34" t="s">
        <v>157</v>
      </c>
    </row>
    <row r="5" spans="1:8">
      <c r="B5" s="34" t="s">
        <v>168</v>
      </c>
      <c r="C5" s="42">
        <v>4.5499999999999999E-2</v>
      </c>
      <c r="D5" s="36" t="s">
        <v>217</v>
      </c>
      <c r="H5" s="34"/>
    </row>
    <row r="6" spans="1:8">
      <c r="B6" s="34" t="s">
        <v>169</v>
      </c>
      <c r="C6" s="40">
        <v>0.99</v>
      </c>
      <c r="D6" s="85" t="s">
        <v>756</v>
      </c>
      <c r="H6" s="35" t="s">
        <v>158</v>
      </c>
    </row>
    <row r="7" spans="1:8">
      <c r="B7" s="34" t="s">
        <v>170</v>
      </c>
      <c r="C7" s="42">
        <v>8.7999999999999995E-2</v>
      </c>
      <c r="D7" s="36" t="s">
        <v>193</v>
      </c>
      <c r="H7" s="34" t="s">
        <v>159</v>
      </c>
    </row>
    <row r="8" spans="1:8">
      <c r="B8" s="34" t="s">
        <v>175</v>
      </c>
      <c r="C8" s="42">
        <f>C7-C5</f>
        <v>4.2499999999999996E-2</v>
      </c>
      <c r="D8" s="42"/>
      <c r="H8" s="34"/>
    </row>
    <row r="9" spans="1:8">
      <c r="B9" s="34"/>
      <c r="C9" s="40"/>
    </row>
    <row r="10" spans="1:8">
      <c r="B10" s="25" t="s">
        <v>171</v>
      </c>
      <c r="C10" s="41">
        <f>(C11/C12)*(1-C13)</f>
        <v>1.7444256685027765E-2</v>
      </c>
      <c r="H10" s="34" t="s">
        <v>174</v>
      </c>
    </row>
    <row r="11" spans="1:8">
      <c r="B11" s="39" t="s">
        <v>194</v>
      </c>
      <c r="C11" s="39">
        <f>Model!H13</f>
        <v>1828</v>
      </c>
      <c r="D11" s="36" t="s">
        <v>221</v>
      </c>
      <c r="H11" s="34"/>
    </row>
    <row r="12" spans="1:8">
      <c r="B12" s="39" t="s">
        <v>195</v>
      </c>
      <c r="C12" s="39">
        <f>Main!K7</f>
        <v>76580</v>
      </c>
      <c r="D12" s="36" t="s">
        <v>221</v>
      </c>
      <c r="H12" s="34" t="s">
        <v>160</v>
      </c>
    </row>
    <row r="13" spans="1:8">
      <c r="B13" s="40" t="s">
        <v>218</v>
      </c>
      <c r="C13" s="43">
        <f>Model!H17/Model!H15</f>
        <v>0.26921160998937299</v>
      </c>
      <c r="D13" s="36" t="s">
        <v>221</v>
      </c>
      <c r="H13" s="34" t="s">
        <v>161</v>
      </c>
    </row>
    <row r="14" spans="1:8">
      <c r="H14" s="34" t="s">
        <v>162</v>
      </c>
    </row>
    <row r="15" spans="1:8">
      <c r="B15" s="45" t="s">
        <v>176</v>
      </c>
      <c r="C15" s="46">
        <f>Model!H60/Model!H62</f>
        <v>1.6537768302727844</v>
      </c>
      <c r="D15" s="45"/>
      <c r="H15" s="34" t="s">
        <v>163</v>
      </c>
    </row>
    <row r="16" spans="1:8">
      <c r="B16" t="s">
        <v>177</v>
      </c>
      <c r="C16" s="47">
        <f>AVERAGE(0.7421,1.036,1.092,1.14)</f>
        <v>1.0025249999999999</v>
      </c>
      <c r="H16" s="34" t="s">
        <v>164</v>
      </c>
    </row>
    <row r="17" spans="2:11">
      <c r="C17" s="40"/>
      <c r="H17" s="34" t="s">
        <v>165</v>
      </c>
    </row>
    <row r="18" spans="2:11">
      <c r="B18" s="19" t="s">
        <v>219</v>
      </c>
    </row>
    <row r="19" spans="2:11">
      <c r="K19" s="34"/>
    </row>
    <row r="20" spans="2:11">
      <c r="K20" s="34"/>
    </row>
    <row r="21" spans="2:11">
      <c r="K21" s="34"/>
    </row>
  </sheetData>
  <hyperlinks>
    <hyperlink ref="A1" location="Main!A1" display="Main" xr:uid="{CC0A79D4-801F-9948-9D21-5ACAEDAB4C63}"/>
    <hyperlink ref="D6" location="Regression!A1" display="regression" xr:uid="{40E47F20-CE5B-8C48-834D-61124829475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3C5D6-F53F-1347-9F05-D1DA7A03853D}">
  <dimension ref="A1:Y89"/>
  <sheetViews>
    <sheetView topLeftCell="N1" zoomScale="108" workbookViewId="0">
      <selection activeCell="AG33" sqref="AG33"/>
    </sheetView>
  </sheetViews>
  <sheetFormatPr baseColWidth="10" defaultRowHeight="13"/>
  <cols>
    <col min="1" max="1" width="4.83203125" bestFit="1" customWidth="1"/>
    <col min="2" max="2" width="13.33203125" customWidth="1"/>
    <col min="3" max="9" width="10.1640625" customWidth="1"/>
    <col min="10" max="10" width="10.6640625" customWidth="1"/>
    <col min="11" max="12" width="10.1640625" customWidth="1"/>
  </cols>
  <sheetData>
    <row r="1" spans="1:12">
      <c r="A1" s="32" t="s">
        <v>114</v>
      </c>
    </row>
    <row r="2" spans="1:12">
      <c r="B2" s="5" t="s">
        <v>0</v>
      </c>
      <c r="C2" s="5" t="s">
        <v>341</v>
      </c>
      <c r="D2" s="5" t="s">
        <v>342</v>
      </c>
      <c r="E2" s="5" t="s">
        <v>343</v>
      </c>
      <c r="F2" s="5" t="s">
        <v>344</v>
      </c>
      <c r="G2" s="5" t="s">
        <v>723</v>
      </c>
      <c r="H2" s="5" t="s">
        <v>724</v>
      </c>
      <c r="I2" s="5" t="s">
        <v>434</v>
      </c>
      <c r="J2" s="5" t="s">
        <v>454</v>
      </c>
      <c r="K2" s="5" t="s">
        <v>452</v>
      </c>
      <c r="L2" s="5" t="s">
        <v>453</v>
      </c>
    </row>
    <row r="3" spans="1:12">
      <c r="B3" s="1">
        <v>43466</v>
      </c>
      <c r="C3">
        <v>369</v>
      </c>
      <c r="D3" s="3">
        <v>6968.85</v>
      </c>
      <c r="E3" s="17">
        <f t="shared" ref="E3:E34" si="0">C3/$C$3*100</f>
        <v>100</v>
      </c>
      <c r="F3" s="17">
        <f t="shared" ref="F3:F34" si="1">D3/$D$3*100</f>
        <v>100</v>
      </c>
      <c r="G3" s="2"/>
      <c r="H3" s="3"/>
      <c r="I3" s="75">
        <v>4.0000000000000001E-3</v>
      </c>
      <c r="K3">
        <v>0.75</v>
      </c>
    </row>
    <row r="4" spans="1:12">
      <c r="B4" s="1">
        <v>43497</v>
      </c>
      <c r="C4">
        <v>377</v>
      </c>
      <c r="D4" s="3">
        <v>7074.73</v>
      </c>
      <c r="E4" s="17">
        <f t="shared" si="0"/>
        <v>102.1680216802168</v>
      </c>
      <c r="F4" s="17">
        <f t="shared" si="1"/>
        <v>101.51933245800957</v>
      </c>
      <c r="G4" s="2">
        <f t="shared" ref="G4:G35" si="2">C4/C3-1</f>
        <v>2.1680216802167918E-2</v>
      </c>
      <c r="H4" s="2">
        <f t="shared" ref="H4:H35" si="3">D4/D3-1</f>
        <v>1.5193324580095702E-2</v>
      </c>
      <c r="I4" s="75">
        <v>4.0000000000000001E-3</v>
      </c>
      <c r="J4">
        <f t="shared" ref="J4:J35" si="4">K4-K3</f>
        <v>0</v>
      </c>
      <c r="K4">
        <v>0.75</v>
      </c>
      <c r="L4" s="2">
        <f>K4/K3-1</f>
        <v>0</v>
      </c>
    </row>
    <row r="5" spans="1:12">
      <c r="B5" s="1">
        <v>43525</v>
      </c>
      <c r="C5">
        <v>402</v>
      </c>
      <c r="D5" s="3">
        <v>7279.19</v>
      </c>
      <c r="E5" s="17">
        <f t="shared" si="0"/>
        <v>108.9430894308943</v>
      </c>
      <c r="F5" s="17">
        <f t="shared" si="1"/>
        <v>104.45324551396571</v>
      </c>
      <c r="G5" s="2">
        <f t="shared" si="2"/>
        <v>6.6312997347480085E-2</v>
      </c>
      <c r="H5" s="2">
        <f t="shared" si="3"/>
        <v>2.8900042828489569E-2</v>
      </c>
      <c r="I5" s="75">
        <v>-2E-3</v>
      </c>
      <c r="J5">
        <f t="shared" si="4"/>
        <v>0</v>
      </c>
      <c r="K5">
        <v>0.75</v>
      </c>
      <c r="L5" s="2">
        <f t="shared" ref="L5:L68" si="5">K5/K4-1</f>
        <v>0</v>
      </c>
    </row>
    <row r="6" spans="1:12">
      <c r="B6" s="1">
        <v>43556</v>
      </c>
      <c r="C6">
        <v>390.5</v>
      </c>
      <c r="D6" s="3">
        <v>7418.22</v>
      </c>
      <c r="E6" s="17">
        <f t="shared" si="0"/>
        <v>105.82655826558265</v>
      </c>
      <c r="F6" s="17">
        <f t="shared" si="1"/>
        <v>106.44826621322025</v>
      </c>
      <c r="G6" s="2">
        <f t="shared" si="2"/>
        <v>-2.8606965174129306E-2</v>
      </c>
      <c r="H6" s="2">
        <f t="shared" si="3"/>
        <v>1.9099652571233916E-2</v>
      </c>
      <c r="I6" s="75">
        <v>4.0000000000000001E-3</v>
      </c>
      <c r="J6">
        <f t="shared" si="4"/>
        <v>0</v>
      </c>
      <c r="K6">
        <v>0.75</v>
      </c>
      <c r="L6" s="2">
        <f t="shared" si="5"/>
        <v>0</v>
      </c>
    </row>
    <row r="7" spans="1:12">
      <c r="B7" s="1">
        <v>43586</v>
      </c>
      <c r="C7">
        <v>430</v>
      </c>
      <c r="D7" s="3">
        <v>7161.71</v>
      </c>
      <c r="E7" s="17">
        <f t="shared" si="0"/>
        <v>116.53116531165311</v>
      </c>
      <c r="F7" s="17">
        <f t="shared" si="1"/>
        <v>102.7674580454451</v>
      </c>
      <c r="G7" s="2">
        <f t="shared" si="2"/>
        <v>0.10115236875800249</v>
      </c>
      <c r="H7" s="2">
        <f t="shared" si="3"/>
        <v>-3.4578375944633644E-2</v>
      </c>
      <c r="I7" s="75">
        <v>0</v>
      </c>
      <c r="J7">
        <f t="shared" si="4"/>
        <v>0</v>
      </c>
      <c r="K7">
        <v>0.75</v>
      </c>
      <c r="L7" s="2">
        <f t="shared" si="5"/>
        <v>0</v>
      </c>
    </row>
    <row r="8" spans="1:12">
      <c r="B8" s="1">
        <v>43617</v>
      </c>
      <c r="C8">
        <v>415</v>
      </c>
      <c r="D8" s="3">
        <v>7425.63</v>
      </c>
      <c r="E8" s="17">
        <f t="shared" si="0"/>
        <v>112.46612466124661</v>
      </c>
      <c r="F8" s="17">
        <f t="shared" si="1"/>
        <v>106.55459652596913</v>
      </c>
      <c r="G8" s="2">
        <f t="shared" si="2"/>
        <v>-3.4883720930232509E-2</v>
      </c>
      <c r="H8" s="2">
        <f t="shared" si="3"/>
        <v>3.6851534060999391E-2</v>
      </c>
      <c r="I8" s="75">
        <v>3.0000000000000001E-3</v>
      </c>
      <c r="J8">
        <f t="shared" si="4"/>
        <v>0</v>
      </c>
      <c r="K8">
        <v>0.75</v>
      </c>
      <c r="L8" s="2">
        <f t="shared" si="5"/>
        <v>0</v>
      </c>
    </row>
    <row r="9" spans="1:12">
      <c r="B9" s="1">
        <v>43647</v>
      </c>
      <c r="C9">
        <v>400</v>
      </c>
      <c r="D9" s="3">
        <v>7586.78</v>
      </c>
      <c r="E9" s="17">
        <f t="shared" si="0"/>
        <v>108.40108401084009</v>
      </c>
      <c r="F9" s="17">
        <f t="shared" si="1"/>
        <v>108.86702971078441</v>
      </c>
      <c r="G9" s="2">
        <f t="shared" si="2"/>
        <v>-3.6144578313253017E-2</v>
      </c>
      <c r="H9" s="2">
        <f t="shared" si="3"/>
        <v>2.1701862333566302E-2</v>
      </c>
      <c r="I9" s="75">
        <v>1E-3</v>
      </c>
      <c r="J9">
        <f t="shared" si="4"/>
        <v>0</v>
      </c>
      <c r="K9">
        <v>0.75</v>
      </c>
      <c r="L9" s="2">
        <f t="shared" si="5"/>
        <v>0</v>
      </c>
    </row>
    <row r="10" spans="1:12">
      <c r="B10" s="1">
        <v>43678</v>
      </c>
      <c r="C10">
        <v>386.5</v>
      </c>
      <c r="D10" s="3">
        <v>7207.18</v>
      </c>
      <c r="E10" s="17">
        <f t="shared" si="0"/>
        <v>104.74254742547427</v>
      </c>
      <c r="F10" s="17">
        <f t="shared" si="1"/>
        <v>103.41993298750869</v>
      </c>
      <c r="G10" s="2">
        <f t="shared" si="2"/>
        <v>-3.3749999999999947E-2</v>
      </c>
      <c r="H10" s="2">
        <f t="shared" si="3"/>
        <v>-5.0034401946543738E-2</v>
      </c>
      <c r="I10" s="75">
        <v>3.0000000000000001E-3</v>
      </c>
      <c r="J10">
        <f t="shared" si="4"/>
        <v>0</v>
      </c>
      <c r="K10">
        <v>0.75</v>
      </c>
      <c r="L10" s="2">
        <f t="shared" si="5"/>
        <v>0</v>
      </c>
    </row>
    <row r="11" spans="1:12">
      <c r="B11" s="1">
        <v>43709</v>
      </c>
      <c r="C11">
        <v>385</v>
      </c>
      <c r="D11" s="3">
        <v>7408.21</v>
      </c>
      <c r="E11" s="17">
        <f t="shared" si="0"/>
        <v>104.33604336043361</v>
      </c>
      <c r="F11" s="17">
        <f t="shared" si="1"/>
        <v>106.30462701880509</v>
      </c>
      <c r="G11" s="2">
        <f t="shared" si="2"/>
        <v>-3.8809831824062613E-3</v>
      </c>
      <c r="H11" s="2">
        <f t="shared" si="3"/>
        <v>2.7893017796142061E-2</v>
      </c>
      <c r="I11" s="75">
        <v>2E-3</v>
      </c>
      <c r="J11">
        <f t="shared" si="4"/>
        <v>0</v>
      </c>
      <c r="K11">
        <v>0.75</v>
      </c>
      <c r="L11" s="2">
        <f t="shared" si="5"/>
        <v>0</v>
      </c>
    </row>
    <row r="12" spans="1:12">
      <c r="B12" s="1">
        <v>43739</v>
      </c>
      <c r="C12">
        <v>383</v>
      </c>
      <c r="D12" s="3">
        <v>7248.38</v>
      </c>
      <c r="E12" s="17">
        <f t="shared" si="0"/>
        <v>103.7940379403794</v>
      </c>
      <c r="F12" s="17">
        <f t="shared" si="1"/>
        <v>104.01113526622039</v>
      </c>
      <c r="G12" s="2">
        <f t="shared" si="2"/>
        <v>-5.1948051948051965E-3</v>
      </c>
      <c r="H12" s="2">
        <f t="shared" si="3"/>
        <v>-2.1574712379913596E-2</v>
      </c>
      <c r="I12" s="75">
        <v>1.2E-2</v>
      </c>
      <c r="J12">
        <f t="shared" si="4"/>
        <v>0</v>
      </c>
      <c r="K12">
        <v>0.75</v>
      </c>
      <c r="L12" s="2">
        <f t="shared" si="5"/>
        <v>0</v>
      </c>
    </row>
    <row r="13" spans="1:12">
      <c r="B13" s="1">
        <v>43770</v>
      </c>
      <c r="C13">
        <v>390</v>
      </c>
      <c r="D13" s="3">
        <v>7346.53</v>
      </c>
      <c r="E13" s="17">
        <f t="shared" si="0"/>
        <v>105.6910569105691</v>
      </c>
      <c r="F13" s="17">
        <f t="shared" si="1"/>
        <v>105.41954554912216</v>
      </c>
      <c r="G13" s="2">
        <f t="shared" si="2"/>
        <v>1.8276762402088753E-2</v>
      </c>
      <c r="H13" s="2">
        <f t="shared" si="3"/>
        <v>1.3540956737919219E-2</v>
      </c>
      <c r="I13" s="75">
        <v>3.0000000000000001E-3</v>
      </c>
      <c r="J13">
        <f t="shared" si="4"/>
        <v>0</v>
      </c>
      <c r="K13">
        <v>0.75</v>
      </c>
      <c r="L13" s="2">
        <f t="shared" si="5"/>
        <v>0</v>
      </c>
    </row>
    <row r="14" spans="1:12">
      <c r="B14" s="1">
        <v>43800</v>
      </c>
      <c r="C14">
        <v>546</v>
      </c>
      <c r="D14" s="3">
        <v>7542.44</v>
      </c>
      <c r="E14" s="17">
        <f t="shared" si="0"/>
        <v>147.96747967479675</v>
      </c>
      <c r="F14" s="17">
        <f t="shared" si="1"/>
        <v>108.23076978267576</v>
      </c>
      <c r="G14" s="2">
        <f t="shared" si="2"/>
        <v>0.39999999999999991</v>
      </c>
      <c r="H14" s="2">
        <f t="shared" si="3"/>
        <v>2.6667011500667748E-2</v>
      </c>
      <c r="I14" s="75">
        <v>4.0000000000000001E-3</v>
      </c>
      <c r="J14">
        <f t="shared" si="4"/>
        <v>0</v>
      </c>
      <c r="K14">
        <v>0.75</v>
      </c>
      <c r="L14" s="2">
        <f t="shared" si="5"/>
        <v>0</v>
      </c>
    </row>
    <row r="15" spans="1:12">
      <c r="B15" s="1">
        <v>43831</v>
      </c>
      <c r="C15">
        <v>500</v>
      </c>
      <c r="D15" s="3">
        <v>7286.01</v>
      </c>
      <c r="E15" s="17">
        <f t="shared" si="0"/>
        <v>135.50135501355015</v>
      </c>
      <c r="F15" s="17">
        <f t="shared" si="1"/>
        <v>104.55110958049032</v>
      </c>
      <c r="G15" s="2">
        <f t="shared" si="2"/>
        <v>-8.4249084249084283E-2</v>
      </c>
      <c r="H15" s="2">
        <f t="shared" si="3"/>
        <v>-3.3998281723155777E-2</v>
      </c>
      <c r="I15" s="75">
        <v>-1E-3</v>
      </c>
      <c r="J15">
        <f t="shared" si="4"/>
        <v>0</v>
      </c>
      <c r="K15">
        <v>0.75</v>
      </c>
      <c r="L15" s="2">
        <f t="shared" si="5"/>
        <v>0</v>
      </c>
    </row>
    <row r="16" spans="1:12">
      <c r="B16" s="1">
        <v>43862</v>
      </c>
      <c r="C16">
        <v>494</v>
      </c>
      <c r="D16" s="3">
        <v>6580.61</v>
      </c>
      <c r="E16" s="17">
        <f t="shared" si="0"/>
        <v>133.87533875338752</v>
      </c>
      <c r="F16" s="17">
        <f t="shared" si="1"/>
        <v>94.428922993033268</v>
      </c>
      <c r="G16" s="2">
        <f t="shared" si="2"/>
        <v>-1.2000000000000011E-2</v>
      </c>
      <c r="H16" s="2">
        <f t="shared" si="3"/>
        <v>-9.6815678265607774E-2</v>
      </c>
      <c r="I16" s="75">
        <v>3.0000000000000001E-3</v>
      </c>
      <c r="J16">
        <f t="shared" si="4"/>
        <v>0</v>
      </c>
      <c r="K16">
        <v>0.75</v>
      </c>
      <c r="L16" s="2">
        <f t="shared" si="5"/>
        <v>0</v>
      </c>
    </row>
    <row r="17" spans="2:16">
      <c r="B17" s="1">
        <v>43891</v>
      </c>
      <c r="C17">
        <v>376</v>
      </c>
      <c r="D17" s="3">
        <v>5671.96</v>
      </c>
      <c r="E17" s="17">
        <f t="shared" si="0"/>
        <v>101.89701897018971</v>
      </c>
      <c r="F17" s="17">
        <f t="shared" si="1"/>
        <v>81.390186329164777</v>
      </c>
      <c r="G17" s="2">
        <f t="shared" si="2"/>
        <v>-0.23886639676113364</v>
      </c>
      <c r="H17" s="2">
        <f t="shared" si="3"/>
        <v>-0.13807990444654827</v>
      </c>
      <c r="I17" s="75">
        <v>1E-3</v>
      </c>
      <c r="J17">
        <f t="shared" si="4"/>
        <v>0</v>
      </c>
      <c r="K17">
        <v>0.75</v>
      </c>
      <c r="L17" s="2">
        <f t="shared" si="5"/>
        <v>0</v>
      </c>
    </row>
    <row r="18" spans="2:16">
      <c r="B18" s="1">
        <v>43922</v>
      </c>
      <c r="C18">
        <v>452</v>
      </c>
      <c r="D18" s="3">
        <v>5901.21</v>
      </c>
      <c r="E18" s="17">
        <f t="shared" si="0"/>
        <v>122.49322493224932</v>
      </c>
      <c r="F18" s="17">
        <f t="shared" si="1"/>
        <v>84.679825222238961</v>
      </c>
      <c r="G18" s="2">
        <f t="shared" si="2"/>
        <v>0.2021276595744681</v>
      </c>
      <c r="H18" s="2">
        <f t="shared" si="3"/>
        <v>4.0418127067186616E-2</v>
      </c>
      <c r="I18" s="75">
        <v>6.0000000000000001E-3</v>
      </c>
      <c r="J18">
        <f t="shared" si="4"/>
        <v>-0.65</v>
      </c>
      <c r="K18">
        <v>0.1</v>
      </c>
      <c r="L18" s="2">
        <f t="shared" si="5"/>
        <v>-0.8666666666666667</v>
      </c>
    </row>
    <row r="19" spans="2:16">
      <c r="B19" s="1">
        <v>43952</v>
      </c>
      <c r="C19">
        <v>463</v>
      </c>
      <c r="D19" s="3">
        <v>6076.6</v>
      </c>
      <c r="E19" s="17">
        <f t="shared" si="0"/>
        <v>125.47425474254743</v>
      </c>
      <c r="F19" s="17">
        <f t="shared" si="1"/>
        <v>87.196596282026448</v>
      </c>
      <c r="G19" s="2">
        <f t="shared" si="2"/>
        <v>2.433628318584069E-2</v>
      </c>
      <c r="H19" s="2">
        <f t="shared" si="3"/>
        <v>2.9721023315557371E-2</v>
      </c>
      <c r="I19" s="75">
        <v>0</v>
      </c>
      <c r="J19">
        <f t="shared" si="4"/>
        <v>0</v>
      </c>
      <c r="K19">
        <v>0.1</v>
      </c>
      <c r="L19" s="2">
        <f t="shared" si="5"/>
        <v>0</v>
      </c>
    </row>
    <row r="20" spans="2:16">
      <c r="B20" s="1">
        <v>43983</v>
      </c>
      <c r="C20">
        <v>443</v>
      </c>
      <c r="D20" s="3">
        <v>6169.74</v>
      </c>
      <c r="E20" s="17">
        <f t="shared" si="0"/>
        <v>120.05420054200542</v>
      </c>
      <c r="F20" s="17">
        <f t="shared" si="1"/>
        <v>88.533115219871277</v>
      </c>
      <c r="G20" s="2">
        <f t="shared" si="2"/>
        <v>-4.3196544276457916E-2</v>
      </c>
      <c r="H20" s="2">
        <f t="shared" si="3"/>
        <v>1.5327650330776876E-2</v>
      </c>
      <c r="I20" s="75">
        <v>3.0000000000000001E-3</v>
      </c>
      <c r="J20">
        <f t="shared" si="4"/>
        <v>0</v>
      </c>
      <c r="K20">
        <v>0.1</v>
      </c>
      <c r="L20" s="2">
        <f t="shared" si="5"/>
        <v>0</v>
      </c>
    </row>
    <row r="21" spans="2:16">
      <c r="B21" s="1">
        <v>44013</v>
      </c>
      <c r="C21">
        <v>436</v>
      </c>
      <c r="D21" s="3">
        <v>5897.76</v>
      </c>
      <c r="E21" s="17">
        <f t="shared" si="0"/>
        <v>118.15718157181571</v>
      </c>
      <c r="F21" s="17">
        <f t="shared" si="1"/>
        <v>84.630319206181795</v>
      </c>
      <c r="G21" s="2">
        <f t="shared" si="2"/>
        <v>-1.5801354401805856E-2</v>
      </c>
      <c r="H21" s="2">
        <f t="shared" si="3"/>
        <v>-4.408289490318873E-2</v>
      </c>
      <c r="I21" s="75">
        <v>-2E-3</v>
      </c>
      <c r="J21">
        <f t="shared" si="4"/>
        <v>0</v>
      </c>
      <c r="K21">
        <v>0.1</v>
      </c>
      <c r="L21" s="2">
        <f t="shared" si="5"/>
        <v>0</v>
      </c>
    </row>
    <row r="22" spans="2:16">
      <c r="B22" s="1">
        <v>44044</v>
      </c>
      <c r="C22">
        <v>423</v>
      </c>
      <c r="D22" s="3">
        <v>5963.57</v>
      </c>
      <c r="E22" s="17">
        <f t="shared" si="0"/>
        <v>114.63414634146341</v>
      </c>
      <c r="F22" s="17">
        <f t="shared" si="1"/>
        <v>85.574664399434624</v>
      </c>
      <c r="G22" s="2">
        <f t="shared" si="2"/>
        <v>-2.9816513761467878E-2</v>
      </c>
      <c r="H22" s="2">
        <f t="shared" si="3"/>
        <v>1.1158473725617846E-2</v>
      </c>
      <c r="I22" s="75">
        <v>1E-3</v>
      </c>
      <c r="J22">
        <f t="shared" si="4"/>
        <v>0</v>
      </c>
      <c r="K22">
        <v>0.1</v>
      </c>
      <c r="L22" s="2">
        <f t="shared" si="5"/>
        <v>0</v>
      </c>
    </row>
    <row r="23" spans="2:16">
      <c r="B23" s="1">
        <v>44075</v>
      </c>
      <c r="C23">
        <v>455</v>
      </c>
      <c r="D23" s="3">
        <v>5866.1</v>
      </c>
      <c r="E23" s="17">
        <f t="shared" si="0"/>
        <v>123.30623306233062</v>
      </c>
      <c r="F23" s="17">
        <f t="shared" si="1"/>
        <v>84.176011824045574</v>
      </c>
      <c r="G23" s="2">
        <f t="shared" si="2"/>
        <v>7.5650118203309802E-2</v>
      </c>
      <c r="H23" s="2">
        <f t="shared" si="3"/>
        <v>-1.634423675751262E-2</v>
      </c>
      <c r="I23" s="75">
        <v>3.0000000000000001E-3</v>
      </c>
      <c r="J23">
        <f t="shared" si="4"/>
        <v>0</v>
      </c>
      <c r="K23">
        <v>0.1</v>
      </c>
      <c r="L23" s="2">
        <f t="shared" si="5"/>
        <v>0</v>
      </c>
    </row>
    <row r="24" spans="2:16">
      <c r="B24" s="1">
        <v>44105</v>
      </c>
      <c r="C24">
        <v>435</v>
      </c>
      <c r="D24" s="3">
        <v>5577.27</v>
      </c>
      <c r="E24" s="17">
        <f t="shared" si="0"/>
        <v>117.88617886178862</v>
      </c>
      <c r="F24" s="17">
        <f t="shared" si="1"/>
        <v>80.031425558018896</v>
      </c>
      <c r="G24" s="2">
        <f t="shared" si="2"/>
        <v>-4.3956043956043911E-2</v>
      </c>
      <c r="H24" s="2">
        <f t="shared" si="3"/>
        <v>-4.9237142223964803E-2</v>
      </c>
      <c r="I24" s="75">
        <v>3.0000000000000001E-3</v>
      </c>
      <c r="J24">
        <f t="shared" si="4"/>
        <v>0</v>
      </c>
      <c r="K24">
        <v>0.1</v>
      </c>
      <c r="L24" s="2">
        <f t="shared" si="5"/>
        <v>0</v>
      </c>
    </row>
    <row r="25" spans="2:16">
      <c r="B25" s="1">
        <v>44136</v>
      </c>
      <c r="C25">
        <v>495</v>
      </c>
      <c r="D25" s="3">
        <v>6266.19</v>
      </c>
      <c r="E25" s="17">
        <f t="shared" si="0"/>
        <v>134.14634146341464</v>
      </c>
      <c r="F25" s="17">
        <f t="shared" si="1"/>
        <v>89.917131233991256</v>
      </c>
      <c r="G25" s="2">
        <f t="shared" si="2"/>
        <v>0.13793103448275867</v>
      </c>
      <c r="H25" s="2">
        <f t="shared" si="3"/>
        <v>0.12352279878865446</v>
      </c>
      <c r="I25" s="75">
        <v>6.0000000000000001E-3</v>
      </c>
      <c r="J25">
        <f t="shared" si="4"/>
        <v>0</v>
      </c>
      <c r="K25">
        <v>0.1</v>
      </c>
      <c r="L25" s="2">
        <f t="shared" si="5"/>
        <v>0</v>
      </c>
    </row>
    <row r="26" spans="2:16">
      <c r="B26" s="1">
        <v>44166</v>
      </c>
      <c r="C26">
        <v>560</v>
      </c>
      <c r="D26" s="3">
        <v>6460.52</v>
      </c>
      <c r="E26" s="17">
        <f t="shared" si="0"/>
        <v>151.76151761517616</v>
      </c>
      <c r="F26" s="17">
        <f t="shared" si="1"/>
        <v>92.705683147147667</v>
      </c>
      <c r="G26" s="2">
        <f t="shared" si="2"/>
        <v>0.13131313131313127</v>
      </c>
      <c r="H26" s="2">
        <f t="shared" si="3"/>
        <v>3.101246530986157E-2</v>
      </c>
      <c r="I26" s="75">
        <v>6.0000000000000001E-3</v>
      </c>
      <c r="J26">
        <f t="shared" si="4"/>
        <v>0</v>
      </c>
      <c r="K26">
        <v>0.1</v>
      </c>
      <c r="L26" s="2">
        <f t="shared" si="5"/>
        <v>0</v>
      </c>
    </row>
    <row r="27" spans="2:16">
      <c r="B27" s="1">
        <v>44197</v>
      </c>
      <c r="C27">
        <v>524</v>
      </c>
      <c r="D27" s="3">
        <v>6407.46</v>
      </c>
      <c r="E27" s="17">
        <f t="shared" si="0"/>
        <v>142.00542005420053</v>
      </c>
      <c r="F27" s="17">
        <f t="shared" si="1"/>
        <v>91.944294969758275</v>
      </c>
      <c r="G27" s="2">
        <f t="shared" si="2"/>
        <v>-6.4285714285714279E-2</v>
      </c>
      <c r="H27" s="2">
        <f t="shared" si="3"/>
        <v>-8.21296118578696E-3</v>
      </c>
      <c r="I27" s="75">
        <v>-6.0000000000000001E-3</v>
      </c>
      <c r="J27">
        <f t="shared" si="4"/>
        <v>0</v>
      </c>
      <c r="K27">
        <v>0.1</v>
      </c>
      <c r="L27" s="2">
        <f t="shared" si="5"/>
        <v>0</v>
      </c>
    </row>
    <row r="28" spans="2:16">
      <c r="B28" s="1">
        <v>44228</v>
      </c>
      <c r="C28">
        <v>502</v>
      </c>
      <c r="D28" s="3">
        <v>6483.43</v>
      </c>
      <c r="E28" s="17">
        <f t="shared" si="0"/>
        <v>136.04336043360433</v>
      </c>
      <c r="F28" s="17">
        <f t="shared" si="1"/>
        <v>93.034431792907</v>
      </c>
      <c r="G28" s="2">
        <f t="shared" si="2"/>
        <v>-4.1984732824427495E-2</v>
      </c>
      <c r="H28" s="2">
        <f t="shared" si="3"/>
        <v>1.1856492276190567E-2</v>
      </c>
      <c r="I28" s="75">
        <v>4.0000000000000001E-3</v>
      </c>
      <c r="J28">
        <f t="shared" si="4"/>
        <v>0</v>
      </c>
      <c r="K28">
        <v>0.1</v>
      </c>
      <c r="L28" s="2">
        <f t="shared" si="5"/>
        <v>0</v>
      </c>
    </row>
    <row r="29" spans="2:16">
      <c r="B29" s="1">
        <v>44256</v>
      </c>
      <c r="C29">
        <v>564</v>
      </c>
      <c r="D29" s="3">
        <v>6713.63</v>
      </c>
      <c r="E29" s="17">
        <f t="shared" si="0"/>
        <v>152.84552845528455</v>
      </c>
      <c r="F29" s="17">
        <f t="shared" si="1"/>
        <v>96.33770277735924</v>
      </c>
      <c r="G29" s="2">
        <f t="shared" si="2"/>
        <v>0.12350597609561742</v>
      </c>
      <c r="H29" s="2">
        <f t="shared" si="3"/>
        <v>3.5505897341376436E-2</v>
      </c>
      <c r="I29" s="75">
        <v>-2E-3</v>
      </c>
      <c r="J29">
        <f t="shared" si="4"/>
        <v>0</v>
      </c>
      <c r="K29">
        <v>0.1</v>
      </c>
      <c r="L29" s="2">
        <f t="shared" si="5"/>
        <v>0</v>
      </c>
      <c r="N29" s="5" t="s">
        <v>255</v>
      </c>
      <c r="O29" s="66">
        <f>CORREL(C3:C87, D3:D87)</f>
        <v>0.67265299281447521</v>
      </c>
      <c r="P29" t="s">
        <v>457</v>
      </c>
    </row>
    <row r="30" spans="2:16">
      <c r="B30" s="1">
        <v>44287</v>
      </c>
      <c r="C30">
        <v>625</v>
      </c>
      <c r="D30" s="3">
        <v>6969.81</v>
      </c>
      <c r="E30" s="17">
        <f t="shared" si="0"/>
        <v>169.37669376693768</v>
      </c>
      <c r="F30" s="17">
        <f t="shared" si="1"/>
        <v>100.01377558707678</v>
      </c>
      <c r="G30" s="2">
        <f t="shared" si="2"/>
        <v>0.10815602836879434</v>
      </c>
      <c r="H30" s="2">
        <f t="shared" si="3"/>
        <v>3.8158194598153283E-2</v>
      </c>
      <c r="I30" s="75">
        <v>0</v>
      </c>
      <c r="J30">
        <f t="shared" si="4"/>
        <v>0</v>
      </c>
      <c r="K30">
        <v>0.1</v>
      </c>
      <c r="L30" s="2">
        <f t="shared" si="5"/>
        <v>0</v>
      </c>
    </row>
    <row r="31" spans="2:16">
      <c r="B31" s="1">
        <v>44317</v>
      </c>
      <c r="C31">
        <v>636</v>
      </c>
      <c r="D31" s="3">
        <v>7022.61</v>
      </c>
      <c r="E31" s="17">
        <f t="shared" si="0"/>
        <v>172.35772357723579</v>
      </c>
      <c r="F31" s="17">
        <f t="shared" si="1"/>
        <v>100.77143287629953</v>
      </c>
      <c r="G31" s="2">
        <f t="shared" si="2"/>
        <v>1.760000000000006E-2</v>
      </c>
      <c r="H31" s="2">
        <f t="shared" si="3"/>
        <v>7.5755293185897354E-3</v>
      </c>
      <c r="I31" s="75">
        <v>5.0000000000000001E-3</v>
      </c>
      <c r="J31">
        <f t="shared" si="4"/>
        <v>0</v>
      </c>
      <c r="K31">
        <v>0.1</v>
      </c>
      <c r="L31" s="2">
        <f t="shared" si="5"/>
        <v>0</v>
      </c>
    </row>
    <row r="32" spans="2:16">
      <c r="B32" s="1">
        <v>44348</v>
      </c>
      <c r="C32">
        <v>675</v>
      </c>
      <c r="D32" s="3">
        <v>7037.47</v>
      </c>
      <c r="E32" s="17">
        <f t="shared" si="0"/>
        <v>182.92682926829269</v>
      </c>
      <c r="F32" s="17">
        <f t="shared" si="1"/>
        <v>100.98466748459214</v>
      </c>
      <c r="G32" s="2">
        <f t="shared" si="2"/>
        <v>6.1320754716981174E-2</v>
      </c>
      <c r="H32" s="2">
        <f t="shared" si="3"/>
        <v>2.1160223905358766E-3</v>
      </c>
      <c r="I32" s="75">
        <v>3.0000000000000001E-3</v>
      </c>
      <c r="J32">
        <f t="shared" si="4"/>
        <v>0</v>
      </c>
      <c r="K32">
        <v>0.1</v>
      </c>
      <c r="L32" s="2">
        <f t="shared" si="5"/>
        <v>0</v>
      </c>
    </row>
    <row r="33" spans="2:12">
      <c r="B33" s="1">
        <v>44378</v>
      </c>
      <c r="C33">
        <v>746</v>
      </c>
      <c r="D33" s="3">
        <v>7032.3</v>
      </c>
      <c r="E33" s="17">
        <f t="shared" si="0"/>
        <v>202.16802168021681</v>
      </c>
      <c r="F33" s="17">
        <f t="shared" si="1"/>
        <v>100.91048020835575</v>
      </c>
      <c r="G33" s="2">
        <f t="shared" si="2"/>
        <v>0.10518518518518527</v>
      </c>
      <c r="H33" s="2">
        <f t="shared" si="3"/>
        <v>-7.3463901089454442E-4</v>
      </c>
      <c r="I33" s="75">
        <v>-4.0000000000000001E-3</v>
      </c>
      <c r="J33">
        <f t="shared" si="4"/>
        <v>0</v>
      </c>
      <c r="K33">
        <v>0.1</v>
      </c>
      <c r="L33" s="2">
        <f t="shared" si="5"/>
        <v>0</v>
      </c>
    </row>
    <row r="34" spans="2:12">
      <c r="B34" s="1">
        <v>44409</v>
      </c>
      <c r="C34">
        <v>767</v>
      </c>
      <c r="D34" s="3">
        <v>7119.7</v>
      </c>
      <c r="E34" s="17">
        <f t="shared" si="0"/>
        <v>207.85907859078588</v>
      </c>
      <c r="F34" s="17">
        <f t="shared" si="1"/>
        <v>102.16463261513735</v>
      </c>
      <c r="G34" s="2">
        <f t="shared" si="2"/>
        <v>2.815013404825728E-2</v>
      </c>
      <c r="H34" s="2">
        <f t="shared" si="3"/>
        <v>1.24283662528617E-2</v>
      </c>
      <c r="I34" s="75">
        <v>1E-3</v>
      </c>
      <c r="J34">
        <f t="shared" si="4"/>
        <v>0</v>
      </c>
      <c r="K34">
        <v>0.1</v>
      </c>
      <c r="L34" s="2">
        <f t="shared" si="5"/>
        <v>0</v>
      </c>
    </row>
    <row r="35" spans="2:12">
      <c r="B35" s="1">
        <v>44440</v>
      </c>
      <c r="C35">
        <v>790</v>
      </c>
      <c r="D35" s="3">
        <v>7086.42</v>
      </c>
      <c r="E35" s="17">
        <f t="shared" ref="E35:E66" si="6">C35/$C$3*100</f>
        <v>214.0921409214092</v>
      </c>
      <c r="F35" s="17">
        <f t="shared" ref="F35:F66" si="7">D35/$D$3*100</f>
        <v>101.68707892980908</v>
      </c>
      <c r="G35" s="2">
        <f t="shared" si="2"/>
        <v>2.9986962190352129E-2</v>
      </c>
      <c r="H35" s="2">
        <f t="shared" si="3"/>
        <v>-4.6743542564995355E-3</v>
      </c>
      <c r="I35" s="75">
        <v>7.0000000000000001E-3</v>
      </c>
      <c r="J35">
        <f t="shared" si="4"/>
        <v>0</v>
      </c>
      <c r="K35">
        <v>0.1</v>
      </c>
      <c r="L35" s="2">
        <f t="shared" si="5"/>
        <v>0</v>
      </c>
    </row>
    <row r="36" spans="2:12">
      <c r="B36" s="1">
        <v>44470</v>
      </c>
      <c r="C36">
        <v>763</v>
      </c>
      <c r="D36" s="3">
        <v>7237.57</v>
      </c>
      <c r="E36" s="17">
        <f t="shared" si="6"/>
        <v>206.77506775067749</v>
      </c>
      <c r="F36" s="17">
        <f t="shared" si="7"/>
        <v>103.85601641590792</v>
      </c>
      <c r="G36" s="2">
        <f t="shared" ref="G36:G67" si="8">C36/C35-1</f>
        <v>-3.4177215189873378E-2</v>
      </c>
      <c r="H36" s="2">
        <f t="shared" ref="H36:H67" si="9">D36/D35-1</f>
        <v>2.1329528873535564E-2</v>
      </c>
      <c r="I36" s="75">
        <v>1.2E-2</v>
      </c>
      <c r="J36">
        <f t="shared" ref="J36:J67" si="10">K36-K35</f>
        <v>0</v>
      </c>
      <c r="K36">
        <v>0.1</v>
      </c>
      <c r="L36" s="2">
        <f t="shared" si="5"/>
        <v>0</v>
      </c>
    </row>
    <row r="37" spans="2:12">
      <c r="B37" s="1">
        <v>44501</v>
      </c>
      <c r="C37">
        <v>803</v>
      </c>
      <c r="D37" s="3">
        <v>7059.45</v>
      </c>
      <c r="E37" s="17">
        <f t="shared" si="6"/>
        <v>217.61517615176152</v>
      </c>
      <c r="F37" s="17">
        <f t="shared" si="7"/>
        <v>101.30007103037086</v>
      </c>
      <c r="G37" s="2">
        <f t="shared" si="8"/>
        <v>5.242463958060295E-2</v>
      </c>
      <c r="H37" s="2">
        <f t="shared" si="9"/>
        <v>-2.461047008871764E-2</v>
      </c>
      <c r="I37" s="75">
        <v>8.0000000000000002E-3</v>
      </c>
      <c r="J37">
        <f t="shared" si="10"/>
        <v>0</v>
      </c>
      <c r="K37">
        <v>0.1</v>
      </c>
      <c r="L37" s="2">
        <f t="shared" si="5"/>
        <v>0</v>
      </c>
    </row>
    <row r="38" spans="2:12">
      <c r="B38" s="1">
        <v>44531</v>
      </c>
      <c r="C38">
        <v>835</v>
      </c>
      <c r="D38" s="3">
        <v>7384.54</v>
      </c>
      <c r="E38" s="17">
        <f t="shared" si="6"/>
        <v>226.28726287262873</v>
      </c>
      <c r="F38" s="17">
        <f t="shared" si="7"/>
        <v>105.96497269994332</v>
      </c>
      <c r="G38" s="2">
        <f t="shared" si="8"/>
        <v>3.9850560398505541E-2</v>
      </c>
      <c r="H38" s="2">
        <f t="shared" si="9"/>
        <v>4.6050329699905745E-2</v>
      </c>
      <c r="I38" s="75">
        <v>1.0999999999999999E-2</v>
      </c>
      <c r="J38">
        <f t="shared" si="10"/>
        <v>0</v>
      </c>
      <c r="K38">
        <v>0.1</v>
      </c>
      <c r="L38" s="2">
        <f t="shared" si="5"/>
        <v>0</v>
      </c>
    </row>
    <row r="39" spans="2:12">
      <c r="B39" s="1">
        <v>44562</v>
      </c>
      <c r="C39">
        <v>720</v>
      </c>
      <c r="D39" s="3">
        <v>7464.37</v>
      </c>
      <c r="E39" s="17">
        <f t="shared" si="6"/>
        <v>195.1219512195122</v>
      </c>
      <c r="F39" s="17">
        <f t="shared" si="7"/>
        <v>107.11049886279658</v>
      </c>
      <c r="G39" s="2">
        <f t="shared" si="8"/>
        <v>-0.13772455089820357</v>
      </c>
      <c r="H39" s="2">
        <f t="shared" si="9"/>
        <v>1.0810422856399882E-2</v>
      </c>
      <c r="I39" s="75">
        <v>-6.0000000000000001E-3</v>
      </c>
      <c r="J39">
        <f t="shared" si="10"/>
        <v>0.15</v>
      </c>
      <c r="K39">
        <v>0.25</v>
      </c>
      <c r="L39" s="2">
        <f t="shared" si="5"/>
        <v>1.5</v>
      </c>
    </row>
    <row r="40" spans="2:12">
      <c r="B40" s="1">
        <v>44593</v>
      </c>
      <c r="C40">
        <v>680</v>
      </c>
      <c r="D40" s="3">
        <v>7458.25</v>
      </c>
      <c r="E40" s="17">
        <f t="shared" si="6"/>
        <v>184.28184281842817</v>
      </c>
      <c r="F40" s="17">
        <f t="shared" si="7"/>
        <v>107.02267949518212</v>
      </c>
      <c r="G40" s="2">
        <f t="shared" si="8"/>
        <v>-5.555555555555558E-2</v>
      </c>
      <c r="H40" s="2">
        <f t="shared" si="9"/>
        <v>-8.1989504807500335E-4</v>
      </c>
      <c r="I40" s="75">
        <v>4.0000000000000001E-3</v>
      </c>
      <c r="J40">
        <f t="shared" si="10"/>
        <v>0</v>
      </c>
      <c r="K40">
        <v>0.25</v>
      </c>
      <c r="L40" s="2">
        <f t="shared" si="5"/>
        <v>0</v>
      </c>
    </row>
    <row r="41" spans="2:12">
      <c r="B41" s="1">
        <v>44621</v>
      </c>
      <c r="C41">
        <v>684</v>
      </c>
      <c r="D41" s="3">
        <v>7515.68</v>
      </c>
      <c r="E41" s="17">
        <f t="shared" si="6"/>
        <v>185.36585365853659</v>
      </c>
      <c r="F41" s="17">
        <f t="shared" si="7"/>
        <v>107.84677529291061</v>
      </c>
      <c r="G41" s="2">
        <f t="shared" si="8"/>
        <v>5.8823529411764497E-3</v>
      </c>
      <c r="H41" s="2">
        <f t="shared" si="9"/>
        <v>7.7001977675728028E-3</v>
      </c>
      <c r="I41" s="75">
        <v>4.0000000000000001E-3</v>
      </c>
      <c r="J41">
        <f t="shared" si="10"/>
        <v>0.25</v>
      </c>
      <c r="K41">
        <v>0.5</v>
      </c>
      <c r="L41" s="2">
        <f t="shared" si="5"/>
        <v>1</v>
      </c>
    </row>
    <row r="42" spans="2:12">
      <c r="B42" s="1">
        <v>44652</v>
      </c>
      <c r="C42">
        <v>699</v>
      </c>
      <c r="D42" s="3">
        <v>7544.55</v>
      </c>
      <c r="E42" s="17">
        <f t="shared" si="6"/>
        <v>189.4308943089431</v>
      </c>
      <c r="F42" s="17">
        <f t="shared" si="7"/>
        <v>108.26104737510494</v>
      </c>
      <c r="G42" s="2">
        <f t="shared" si="8"/>
        <v>2.1929824561403466E-2</v>
      </c>
      <c r="H42" s="2">
        <f t="shared" si="9"/>
        <v>3.8413024503438642E-3</v>
      </c>
      <c r="I42" s="75">
        <v>0.02</v>
      </c>
      <c r="J42">
        <f t="shared" si="10"/>
        <v>0.25</v>
      </c>
      <c r="K42">
        <v>0.75</v>
      </c>
      <c r="L42" s="2">
        <f t="shared" si="5"/>
        <v>0.5</v>
      </c>
    </row>
    <row r="43" spans="2:12">
      <c r="B43" s="1">
        <v>44682</v>
      </c>
      <c r="C43">
        <v>692</v>
      </c>
      <c r="D43" s="3">
        <v>7607.66</v>
      </c>
      <c r="E43" s="17">
        <f t="shared" si="6"/>
        <v>187.53387533875338</v>
      </c>
      <c r="F43" s="17">
        <f t="shared" si="7"/>
        <v>109.16664872970432</v>
      </c>
      <c r="G43" s="2">
        <f t="shared" si="8"/>
        <v>-1.0014306151645225E-2</v>
      </c>
      <c r="H43" s="2">
        <f t="shared" si="9"/>
        <v>8.3649786932289416E-3</v>
      </c>
      <c r="I43" s="75">
        <v>5.0000000000000001E-3</v>
      </c>
      <c r="J43">
        <f t="shared" si="10"/>
        <v>0</v>
      </c>
      <c r="K43">
        <v>0.75</v>
      </c>
      <c r="L43" s="2">
        <f t="shared" si="5"/>
        <v>0</v>
      </c>
    </row>
    <row r="44" spans="2:12">
      <c r="B44" s="1">
        <v>44713</v>
      </c>
      <c r="C44">
        <v>640</v>
      </c>
      <c r="D44" s="3">
        <v>7169.28</v>
      </c>
      <c r="E44" s="17">
        <f t="shared" si="6"/>
        <v>173.44173441734418</v>
      </c>
      <c r="F44" s="17">
        <f t="shared" si="7"/>
        <v>102.87608428937342</v>
      </c>
      <c r="G44" s="2">
        <f t="shared" si="8"/>
        <v>-7.5144508670520249E-2</v>
      </c>
      <c r="H44" s="2">
        <f t="shared" si="9"/>
        <v>-5.7623500524471405E-2</v>
      </c>
      <c r="I44" s="75">
        <v>5.0000000000000001E-3</v>
      </c>
      <c r="J44">
        <f t="shared" si="10"/>
        <v>0.25</v>
      </c>
      <c r="K44">
        <v>1</v>
      </c>
      <c r="L44" s="2">
        <f t="shared" si="5"/>
        <v>0.33333333333333326</v>
      </c>
    </row>
    <row r="45" spans="2:12">
      <c r="B45" s="1">
        <v>44743</v>
      </c>
      <c r="C45">
        <v>741</v>
      </c>
      <c r="D45" s="3">
        <v>7423.43</v>
      </c>
      <c r="E45" s="17">
        <f t="shared" si="6"/>
        <v>200.81300813008133</v>
      </c>
      <c r="F45" s="17">
        <f t="shared" si="7"/>
        <v>106.52302747225151</v>
      </c>
      <c r="G45" s="2">
        <f t="shared" si="8"/>
        <v>0.15781249999999991</v>
      </c>
      <c r="H45" s="2">
        <f t="shared" si="9"/>
        <v>3.5449863863595832E-2</v>
      </c>
      <c r="I45" s="75">
        <v>6.0000000000000001E-3</v>
      </c>
      <c r="J45">
        <f t="shared" si="10"/>
        <v>0.25</v>
      </c>
      <c r="K45">
        <v>1.25</v>
      </c>
      <c r="L45" s="2">
        <f t="shared" si="5"/>
        <v>0.25</v>
      </c>
    </row>
    <row r="46" spans="2:12">
      <c r="B46" s="1">
        <v>44774</v>
      </c>
      <c r="C46">
        <v>643</v>
      </c>
      <c r="D46" s="3">
        <v>7284.15</v>
      </c>
      <c r="E46" s="17">
        <f t="shared" si="6"/>
        <v>174.25474254742548</v>
      </c>
      <c r="F46" s="17">
        <f t="shared" si="7"/>
        <v>104.52441938052905</v>
      </c>
      <c r="G46" s="2">
        <f t="shared" si="8"/>
        <v>-0.13225371120107965</v>
      </c>
      <c r="H46" s="2">
        <f t="shared" si="9"/>
        <v>-1.8762216387842368E-2</v>
      </c>
      <c r="I46" s="75">
        <v>8.0000000000000002E-3</v>
      </c>
      <c r="J46">
        <f t="shared" si="10"/>
        <v>0</v>
      </c>
      <c r="K46">
        <v>1.25</v>
      </c>
      <c r="L46" s="2">
        <f t="shared" si="5"/>
        <v>0</v>
      </c>
    </row>
    <row r="47" spans="2:12">
      <c r="B47" s="1">
        <v>44805</v>
      </c>
      <c r="C47">
        <v>570</v>
      </c>
      <c r="D47" s="3">
        <v>6893.81</v>
      </c>
      <c r="E47" s="17">
        <f t="shared" si="6"/>
        <v>154.47154471544715</v>
      </c>
      <c r="F47" s="17">
        <f t="shared" si="7"/>
        <v>98.9232082768319</v>
      </c>
      <c r="G47" s="2">
        <f t="shared" si="8"/>
        <v>-0.11353032659409024</v>
      </c>
      <c r="H47" s="2">
        <f t="shared" si="9"/>
        <v>-5.3587584000878485E-2</v>
      </c>
      <c r="I47" s="75">
        <v>7.0000000000000001E-3</v>
      </c>
      <c r="J47">
        <f t="shared" si="10"/>
        <v>0.5</v>
      </c>
      <c r="K47">
        <v>1.75</v>
      </c>
      <c r="L47" s="2">
        <f t="shared" si="5"/>
        <v>0.39999999999999991</v>
      </c>
    </row>
    <row r="48" spans="2:12">
      <c r="B48" s="1">
        <v>44835</v>
      </c>
      <c r="C48">
        <v>614</v>
      </c>
      <c r="D48" s="3">
        <v>7094.53</v>
      </c>
      <c r="E48" s="17">
        <f t="shared" si="6"/>
        <v>166.39566395663957</v>
      </c>
      <c r="F48" s="17">
        <f t="shared" si="7"/>
        <v>101.80345394146811</v>
      </c>
      <c r="G48" s="2">
        <f t="shared" si="8"/>
        <v>7.7192982456140369E-2</v>
      </c>
      <c r="H48" s="2">
        <f t="shared" si="9"/>
        <v>2.911597505588337E-2</v>
      </c>
      <c r="I48" s="75">
        <v>2.5000000000000001E-2</v>
      </c>
      <c r="J48">
        <f t="shared" si="10"/>
        <v>0.5</v>
      </c>
      <c r="K48">
        <v>2.25</v>
      </c>
      <c r="L48" s="2">
        <f t="shared" si="5"/>
        <v>0.28571428571428581</v>
      </c>
    </row>
    <row r="49" spans="2:25">
      <c r="B49" s="1">
        <v>44866</v>
      </c>
      <c r="C49">
        <v>683</v>
      </c>
      <c r="D49" s="3">
        <v>7573.05</v>
      </c>
      <c r="E49" s="17">
        <f t="shared" si="6"/>
        <v>185.09485094850947</v>
      </c>
      <c r="F49" s="17">
        <f t="shared" si="7"/>
        <v>108.67001011644675</v>
      </c>
      <c r="G49" s="2">
        <f t="shared" si="8"/>
        <v>0.1123778501628665</v>
      </c>
      <c r="H49" s="2">
        <f t="shared" si="9"/>
        <v>6.7449147441761559E-2</v>
      </c>
      <c r="I49" s="75">
        <v>1.0999999999999999E-2</v>
      </c>
      <c r="J49">
        <f t="shared" si="10"/>
        <v>0</v>
      </c>
      <c r="K49">
        <v>2.25</v>
      </c>
      <c r="L49" s="2">
        <f t="shared" si="5"/>
        <v>0</v>
      </c>
    </row>
    <row r="50" spans="2:25">
      <c r="B50" s="1">
        <v>44896</v>
      </c>
      <c r="C50">
        <v>732</v>
      </c>
      <c r="D50" s="3">
        <v>7451.74</v>
      </c>
      <c r="E50" s="17">
        <f t="shared" si="6"/>
        <v>198.3739837398374</v>
      </c>
      <c r="F50" s="17">
        <f t="shared" si="7"/>
        <v>106.92926379531772</v>
      </c>
      <c r="G50" s="2">
        <f t="shared" si="8"/>
        <v>7.1742313323572393E-2</v>
      </c>
      <c r="H50" s="2">
        <f t="shared" si="9"/>
        <v>-1.601864506374584E-2</v>
      </c>
      <c r="I50" s="75">
        <v>8.0000000000000002E-3</v>
      </c>
      <c r="J50">
        <f t="shared" si="10"/>
        <v>0.75</v>
      </c>
      <c r="K50">
        <v>3</v>
      </c>
      <c r="L50" s="2">
        <f t="shared" si="5"/>
        <v>0.33333333333333326</v>
      </c>
    </row>
    <row r="51" spans="2:25">
      <c r="B51" s="1">
        <v>44927</v>
      </c>
      <c r="C51">
        <v>732</v>
      </c>
      <c r="D51" s="3">
        <v>7771.7</v>
      </c>
      <c r="E51" s="17">
        <f t="shared" si="6"/>
        <v>198.3739837398374</v>
      </c>
      <c r="F51" s="17">
        <f t="shared" si="7"/>
        <v>111.52055217144866</v>
      </c>
      <c r="G51" s="2">
        <f t="shared" si="8"/>
        <v>0</v>
      </c>
      <c r="H51" s="2">
        <f t="shared" si="9"/>
        <v>4.2937622622367444E-2</v>
      </c>
      <c r="I51" s="75">
        <v>-1E-3</v>
      </c>
      <c r="J51">
        <f t="shared" si="10"/>
        <v>0.5</v>
      </c>
      <c r="K51">
        <v>3.5</v>
      </c>
      <c r="L51" s="2">
        <f t="shared" si="5"/>
        <v>0.16666666666666674</v>
      </c>
    </row>
    <row r="52" spans="2:25">
      <c r="B52" s="1">
        <v>44958</v>
      </c>
      <c r="C52">
        <v>713</v>
      </c>
      <c r="D52" s="3">
        <v>7876.28</v>
      </c>
      <c r="E52" s="17">
        <f t="shared" si="6"/>
        <v>193.22493224932248</v>
      </c>
      <c r="F52" s="17">
        <f t="shared" si="7"/>
        <v>113.02123018862508</v>
      </c>
      <c r="G52" s="2">
        <f t="shared" si="8"/>
        <v>-2.5956284153005438E-2</v>
      </c>
      <c r="H52" s="2">
        <f t="shared" si="9"/>
        <v>1.3456515305531491E-2</v>
      </c>
      <c r="I52" s="75">
        <v>5.0000000000000001E-3</v>
      </c>
      <c r="J52">
        <f t="shared" si="10"/>
        <v>0</v>
      </c>
      <c r="K52">
        <v>3.5</v>
      </c>
      <c r="L52" s="2">
        <f t="shared" si="5"/>
        <v>0</v>
      </c>
    </row>
    <row r="53" spans="2:25">
      <c r="B53" s="1">
        <v>44986</v>
      </c>
      <c r="C53">
        <v>676</v>
      </c>
      <c r="D53" s="3">
        <v>7631.74</v>
      </c>
      <c r="E53" s="17">
        <f t="shared" si="6"/>
        <v>183.19783197831978</v>
      </c>
      <c r="F53" s="17">
        <f t="shared" si="7"/>
        <v>109.51218637221349</v>
      </c>
      <c r="G53" s="2">
        <f t="shared" si="8"/>
        <v>-5.1893408134642383E-2</v>
      </c>
      <c r="H53" s="2">
        <f t="shared" si="9"/>
        <v>-3.1047651937208931E-2</v>
      </c>
      <c r="I53" s="75">
        <v>7.0000000000000001E-3</v>
      </c>
      <c r="J53">
        <f t="shared" si="10"/>
        <v>0.5</v>
      </c>
      <c r="K53">
        <v>4</v>
      </c>
      <c r="L53" s="2">
        <f t="shared" si="5"/>
        <v>0.14285714285714279</v>
      </c>
    </row>
    <row r="54" spans="2:25">
      <c r="B54" s="1">
        <v>45017</v>
      </c>
      <c r="C54">
        <v>727</v>
      </c>
      <c r="D54" s="3">
        <v>7870.57</v>
      </c>
      <c r="E54" s="17">
        <f t="shared" si="6"/>
        <v>197.01897018970189</v>
      </c>
      <c r="F54" s="17">
        <f t="shared" si="7"/>
        <v>112.93929414465799</v>
      </c>
      <c r="G54" s="2">
        <f t="shared" si="8"/>
        <v>7.5443786982248628E-2</v>
      </c>
      <c r="H54" s="2">
        <f t="shared" si="9"/>
        <v>3.129430509949227E-2</v>
      </c>
      <c r="I54" s="75">
        <v>1.0999999999999999E-2</v>
      </c>
      <c r="J54">
        <f t="shared" si="10"/>
        <v>0.25</v>
      </c>
      <c r="K54">
        <v>4.25</v>
      </c>
      <c r="L54" s="2">
        <f t="shared" si="5"/>
        <v>6.25E-2</v>
      </c>
    </row>
    <row r="55" spans="2:25">
      <c r="B55" s="1">
        <v>45047</v>
      </c>
      <c r="C55">
        <v>715</v>
      </c>
      <c r="D55" s="3">
        <v>7446.14</v>
      </c>
      <c r="E55" s="17">
        <f t="shared" si="6"/>
        <v>193.76693766937669</v>
      </c>
      <c r="F55" s="17">
        <f t="shared" si="7"/>
        <v>106.84890620403652</v>
      </c>
      <c r="G55" s="2">
        <f t="shared" si="8"/>
        <v>-1.6506189821182904E-2</v>
      </c>
      <c r="H55" s="2">
        <f t="shared" si="9"/>
        <v>-5.392620864816644E-2</v>
      </c>
      <c r="I55" s="75">
        <v>3.0000000000000001E-3</v>
      </c>
      <c r="J55">
        <f t="shared" si="10"/>
        <v>0</v>
      </c>
      <c r="K55">
        <v>4.25</v>
      </c>
      <c r="L55" s="2">
        <f t="shared" si="5"/>
        <v>0</v>
      </c>
    </row>
    <row r="56" spans="2:25">
      <c r="B56" s="1">
        <v>45078</v>
      </c>
      <c r="C56">
        <v>744</v>
      </c>
      <c r="D56" s="3">
        <v>7531.53</v>
      </c>
      <c r="E56" s="17">
        <f t="shared" si="6"/>
        <v>201.6260162601626</v>
      </c>
      <c r="F56" s="17">
        <f t="shared" si="7"/>
        <v>108.07421597537612</v>
      </c>
      <c r="G56" s="2">
        <f t="shared" si="8"/>
        <v>4.0559440559440496E-2</v>
      </c>
      <c r="H56" s="2">
        <f t="shared" si="9"/>
        <v>1.1467686613466865E-2</v>
      </c>
      <c r="I56" s="75">
        <v>7.0000000000000001E-3</v>
      </c>
      <c r="J56">
        <f t="shared" si="10"/>
        <v>0.25</v>
      </c>
      <c r="K56">
        <v>4.5</v>
      </c>
      <c r="L56" s="2">
        <f t="shared" si="5"/>
        <v>5.8823529411764719E-2</v>
      </c>
    </row>
    <row r="57" spans="2:25">
      <c r="B57" s="1">
        <v>45108</v>
      </c>
      <c r="C57">
        <v>730</v>
      </c>
      <c r="D57" s="3">
        <v>7699.41</v>
      </c>
      <c r="E57" s="17">
        <f t="shared" si="6"/>
        <v>197.83197831978322</v>
      </c>
      <c r="F57" s="17">
        <f t="shared" si="7"/>
        <v>110.48322176542757</v>
      </c>
      <c r="G57" s="2">
        <f t="shared" si="8"/>
        <v>-1.8817204301075252E-2</v>
      </c>
      <c r="H57" s="2">
        <f t="shared" si="9"/>
        <v>2.2290291614054603E-2</v>
      </c>
      <c r="I57" s="75">
        <v>0</v>
      </c>
      <c r="J57">
        <f t="shared" si="10"/>
        <v>0.5</v>
      </c>
      <c r="K57">
        <v>5</v>
      </c>
      <c r="L57" s="2">
        <f t="shared" si="5"/>
        <v>0.11111111111111116</v>
      </c>
    </row>
    <row r="58" spans="2:25">
      <c r="B58" s="1">
        <v>45139</v>
      </c>
      <c r="C58">
        <v>718</v>
      </c>
      <c r="D58" s="3">
        <v>7439.13</v>
      </c>
      <c r="E58" s="17">
        <f t="shared" si="6"/>
        <v>194.57994579945799</v>
      </c>
      <c r="F58" s="17">
        <f t="shared" si="7"/>
        <v>106.7483157192363</v>
      </c>
      <c r="G58" s="2">
        <f t="shared" si="8"/>
        <v>-1.6438356164383605E-2</v>
      </c>
      <c r="H58" s="2">
        <f t="shared" si="9"/>
        <v>-3.3805187670224002E-2</v>
      </c>
      <c r="I58" s="75">
        <v>5.0000000000000001E-3</v>
      </c>
      <c r="J58">
        <f t="shared" si="10"/>
        <v>0</v>
      </c>
      <c r="K58">
        <v>5</v>
      </c>
      <c r="L58" s="2">
        <f t="shared" si="5"/>
        <v>0</v>
      </c>
    </row>
    <row r="59" spans="2:25">
      <c r="B59" s="1">
        <v>45170</v>
      </c>
      <c r="C59">
        <v>713</v>
      </c>
      <c r="D59" s="3">
        <v>7608.08</v>
      </c>
      <c r="E59" s="17">
        <f t="shared" si="6"/>
        <v>193.22493224932248</v>
      </c>
      <c r="F59" s="17">
        <f t="shared" si="7"/>
        <v>109.17267554905041</v>
      </c>
      <c r="G59" s="2">
        <f t="shared" si="8"/>
        <v>-6.9637883008356605E-3</v>
      </c>
      <c r="H59" s="2">
        <f t="shared" si="9"/>
        <v>2.2710989053827513E-2</v>
      </c>
      <c r="I59" s="75">
        <v>6.0000000000000001E-3</v>
      </c>
      <c r="J59">
        <f t="shared" si="10"/>
        <v>0.25</v>
      </c>
      <c r="K59">
        <v>5.25</v>
      </c>
      <c r="L59" s="2">
        <f t="shared" si="5"/>
        <v>5.0000000000000044E-2</v>
      </c>
    </row>
    <row r="60" spans="2:25">
      <c r="B60" s="1">
        <v>45200</v>
      </c>
      <c r="C60">
        <v>717</v>
      </c>
      <c r="D60" s="3">
        <v>7321.72</v>
      </c>
      <c r="E60" s="17">
        <f t="shared" si="6"/>
        <v>194.3089430894309</v>
      </c>
      <c r="F60" s="17">
        <f t="shared" si="7"/>
        <v>105.06353272060669</v>
      </c>
      <c r="G60" s="2">
        <f t="shared" si="8"/>
        <v>5.6100981767182034E-3</v>
      </c>
      <c r="H60" s="2">
        <f t="shared" si="9"/>
        <v>-3.7638931241522178E-2</v>
      </c>
      <c r="I60" s="75">
        <v>6.0000000000000001E-3</v>
      </c>
      <c r="J60">
        <f t="shared" si="10"/>
        <v>0</v>
      </c>
      <c r="K60">
        <v>5.25</v>
      </c>
      <c r="L60" s="2">
        <f t="shared" si="5"/>
        <v>0</v>
      </c>
    </row>
    <row r="61" spans="2:25">
      <c r="B61" s="1">
        <v>45231</v>
      </c>
      <c r="C61">
        <v>842</v>
      </c>
      <c r="D61" s="3">
        <v>7453.75</v>
      </c>
      <c r="E61" s="17">
        <f t="shared" si="6"/>
        <v>228.18428184281845</v>
      </c>
      <c r="F61" s="17">
        <f t="shared" si="7"/>
        <v>106.95810643075974</v>
      </c>
      <c r="G61" s="2">
        <f t="shared" si="8"/>
        <v>0.17433751743375181</v>
      </c>
      <c r="H61" s="2">
        <f t="shared" si="9"/>
        <v>1.8032648066301338E-2</v>
      </c>
      <c r="I61" s="75">
        <v>3.0000000000000001E-3</v>
      </c>
      <c r="J61">
        <f t="shared" si="10"/>
        <v>0</v>
      </c>
      <c r="K61">
        <v>5.25</v>
      </c>
      <c r="L61" s="2">
        <f t="shared" si="5"/>
        <v>0</v>
      </c>
      <c r="N61" s="5" t="s">
        <v>255</v>
      </c>
      <c r="O61" s="66">
        <f>CORREL(G3:G87, I3:I87)</f>
        <v>0.15262320889467357</v>
      </c>
      <c r="P61" t="s">
        <v>455</v>
      </c>
      <c r="W61" s="5" t="s">
        <v>255</v>
      </c>
      <c r="X61" s="66">
        <f>CORREL(G4:G87, L4:L87)</f>
        <v>-0.23239373367552332</v>
      </c>
      <c r="Y61" t="s">
        <v>456</v>
      </c>
    </row>
    <row r="62" spans="2:25">
      <c r="B62" s="1">
        <v>45261</v>
      </c>
      <c r="C62">
        <v>859</v>
      </c>
      <c r="D62" s="3">
        <v>7733.24</v>
      </c>
      <c r="E62" s="17">
        <f t="shared" si="6"/>
        <v>232.79132791327913</v>
      </c>
      <c r="F62" s="17">
        <f t="shared" si="7"/>
        <v>110.96866771418526</v>
      </c>
      <c r="G62" s="2">
        <f t="shared" si="8"/>
        <v>2.0190023752969077E-2</v>
      </c>
      <c r="H62" s="2">
        <f t="shared" si="9"/>
        <v>3.7496562133154443E-2</v>
      </c>
      <c r="I62" s="75">
        <v>1E-3</v>
      </c>
      <c r="J62">
        <f t="shared" si="10"/>
        <v>0</v>
      </c>
      <c r="K62">
        <v>5.25</v>
      </c>
      <c r="L62" s="2">
        <f t="shared" si="5"/>
        <v>0</v>
      </c>
    </row>
    <row r="63" spans="2:25">
      <c r="B63" s="1">
        <v>45292</v>
      </c>
      <c r="C63">
        <v>880</v>
      </c>
      <c r="D63" s="3">
        <v>7630.57</v>
      </c>
      <c r="E63" s="17">
        <f t="shared" si="6"/>
        <v>238.48238482384824</v>
      </c>
      <c r="F63" s="17">
        <f t="shared" si="7"/>
        <v>109.49539737546365</v>
      </c>
      <c r="G63" s="2">
        <f t="shared" si="8"/>
        <v>2.4447031431897637E-2</v>
      </c>
      <c r="H63" s="2">
        <f t="shared" si="9"/>
        <v>-1.3276453336505845E-2</v>
      </c>
      <c r="I63" s="75">
        <v>-2E-3</v>
      </c>
      <c r="J63">
        <f t="shared" si="10"/>
        <v>0</v>
      </c>
      <c r="K63">
        <v>5.25</v>
      </c>
      <c r="L63" s="2">
        <f t="shared" si="5"/>
        <v>0</v>
      </c>
    </row>
    <row r="64" spans="2:25">
      <c r="B64" s="1">
        <v>45323</v>
      </c>
      <c r="C64">
        <v>875</v>
      </c>
      <c r="D64" s="3">
        <v>7630.02</v>
      </c>
      <c r="E64" s="17">
        <f t="shared" si="6"/>
        <v>237.12737127371275</v>
      </c>
      <c r="F64" s="17">
        <f t="shared" si="7"/>
        <v>109.48750511203427</v>
      </c>
      <c r="G64" s="2">
        <f t="shared" si="8"/>
        <v>-5.6818181818182323E-3</v>
      </c>
      <c r="H64" s="2">
        <f t="shared" si="9"/>
        <v>-7.2078494791294467E-5</v>
      </c>
      <c r="I64" s="75">
        <v>3.0000000000000001E-3</v>
      </c>
      <c r="J64">
        <f t="shared" si="10"/>
        <v>0</v>
      </c>
      <c r="K64">
        <v>5.25</v>
      </c>
      <c r="L64" s="2">
        <f t="shared" si="5"/>
        <v>0</v>
      </c>
    </row>
    <row r="65" spans="2:15">
      <c r="B65" s="1">
        <v>45352</v>
      </c>
      <c r="C65">
        <v>924</v>
      </c>
      <c r="D65" s="3">
        <v>7952.62</v>
      </c>
      <c r="E65" s="17">
        <f t="shared" si="6"/>
        <v>250.40650406504062</v>
      </c>
      <c r="F65" s="17">
        <f t="shared" si="7"/>
        <v>114.11667635262633</v>
      </c>
      <c r="G65" s="2">
        <f t="shared" si="8"/>
        <v>5.600000000000005E-2</v>
      </c>
      <c r="H65" s="2">
        <f t="shared" si="9"/>
        <v>4.2280360995121891E-2</v>
      </c>
      <c r="I65" s="75">
        <v>-1E-3</v>
      </c>
      <c r="J65">
        <f t="shared" si="10"/>
        <v>0</v>
      </c>
      <c r="K65">
        <v>5.25</v>
      </c>
      <c r="L65" s="2">
        <f t="shared" si="5"/>
        <v>0</v>
      </c>
      <c r="N65" s="5" t="s">
        <v>733</v>
      </c>
    </row>
    <row r="66" spans="2:15">
      <c r="B66" s="1">
        <v>45383</v>
      </c>
      <c r="C66">
        <v>945</v>
      </c>
      <c r="D66" s="3">
        <v>8144.13</v>
      </c>
      <c r="E66" s="17">
        <f t="shared" si="6"/>
        <v>256.09756097560978</v>
      </c>
      <c r="F66" s="17">
        <f t="shared" si="7"/>
        <v>116.86476247874469</v>
      </c>
      <c r="G66" s="2">
        <f t="shared" si="8"/>
        <v>2.2727272727272707E-2</v>
      </c>
      <c r="H66" s="2">
        <f t="shared" si="9"/>
        <v>2.408137192522708E-2</v>
      </c>
      <c r="I66" s="75">
        <v>0</v>
      </c>
      <c r="J66">
        <f t="shared" si="10"/>
        <v>0</v>
      </c>
      <c r="K66">
        <v>5.25</v>
      </c>
      <c r="L66" s="2">
        <f t="shared" si="5"/>
        <v>0</v>
      </c>
      <c r="N66" t="s">
        <v>754</v>
      </c>
      <c r="O66" t="s">
        <v>719</v>
      </c>
    </row>
    <row r="67" spans="2:15">
      <c r="B67" s="1">
        <v>45413</v>
      </c>
      <c r="C67" s="3">
        <v>1068</v>
      </c>
      <c r="D67" s="3">
        <v>8275.3799999999992</v>
      </c>
      <c r="E67" s="17">
        <f t="shared" ref="E67:E87" si="11">C67/$C$3*100</f>
        <v>289.4308943089431</v>
      </c>
      <c r="F67" s="17">
        <f t="shared" ref="F67:F87" si="12">D67/$D$3*100</f>
        <v>118.74814352439785</v>
      </c>
      <c r="G67" s="2">
        <f t="shared" si="8"/>
        <v>0.13015873015873014</v>
      </c>
      <c r="H67" s="2">
        <f t="shared" si="9"/>
        <v>1.6115901882705508E-2</v>
      </c>
      <c r="I67" s="75">
        <v>4.0000000000000001E-3</v>
      </c>
      <c r="J67">
        <f t="shared" si="10"/>
        <v>0</v>
      </c>
      <c r="K67">
        <v>5.25</v>
      </c>
      <c r="L67" s="2">
        <f t="shared" si="5"/>
        <v>0</v>
      </c>
      <c r="N67" t="s">
        <v>755</v>
      </c>
      <c r="O67" t="s">
        <v>720</v>
      </c>
    </row>
    <row r="68" spans="2:15">
      <c r="B68" s="1">
        <v>45444</v>
      </c>
      <c r="C68" s="3">
        <v>1062</v>
      </c>
      <c r="D68" s="3">
        <v>8164.12</v>
      </c>
      <c r="E68" s="17">
        <f t="shared" si="11"/>
        <v>287.80487804878049</v>
      </c>
      <c r="F68" s="17">
        <f t="shared" si="12"/>
        <v>117.15161038047883</v>
      </c>
      <c r="G68" s="2">
        <f t="shared" ref="G68:G87" si="13">C68/C67-1</f>
        <v>-5.6179775280899014E-3</v>
      </c>
      <c r="H68" s="2">
        <f t="shared" ref="H68:H87" si="14">D68/D67-1</f>
        <v>-1.3444699820431172E-2</v>
      </c>
      <c r="I68" s="75">
        <v>-4.0000000000000001E-3</v>
      </c>
      <c r="J68">
        <f t="shared" ref="J68:J99" si="15">K68-K67</f>
        <v>0</v>
      </c>
      <c r="K68">
        <v>5.25</v>
      </c>
      <c r="L68" s="2">
        <f t="shared" si="5"/>
        <v>0</v>
      </c>
      <c r="O68" t="s">
        <v>721</v>
      </c>
    </row>
    <row r="69" spans="2:15">
      <c r="B69" s="1">
        <v>45474</v>
      </c>
      <c r="C69" s="3">
        <v>1086</v>
      </c>
      <c r="D69" s="3">
        <v>8367.98</v>
      </c>
      <c r="E69" s="17">
        <f t="shared" si="11"/>
        <v>294.3089430894309</v>
      </c>
      <c r="F69" s="17">
        <f t="shared" si="12"/>
        <v>120.07691369451199</v>
      </c>
      <c r="G69" s="2">
        <f t="shared" si="13"/>
        <v>2.2598870056497189E-2</v>
      </c>
      <c r="H69" s="2">
        <f t="shared" si="14"/>
        <v>2.4970235616330827E-2</v>
      </c>
      <c r="I69" s="75">
        <v>4.0000000000000001E-3</v>
      </c>
      <c r="J69">
        <f t="shared" si="15"/>
        <v>0</v>
      </c>
      <c r="K69">
        <v>5.25</v>
      </c>
      <c r="L69" s="2">
        <f t="shared" ref="L69:L87" si="16">K69/K68-1</f>
        <v>0</v>
      </c>
      <c r="O69" t="s">
        <v>722</v>
      </c>
    </row>
    <row r="70" spans="2:15">
      <c r="B70" s="1">
        <v>45505</v>
      </c>
      <c r="C70" s="3">
        <v>1072</v>
      </c>
      <c r="D70" s="3">
        <v>8376.6299999999992</v>
      </c>
      <c r="E70" s="17">
        <f t="shared" si="11"/>
        <v>290.51490514905146</v>
      </c>
      <c r="F70" s="17">
        <f t="shared" si="12"/>
        <v>120.20103747390169</v>
      </c>
      <c r="G70" s="2">
        <f t="shared" si="13"/>
        <v>-1.2891344383057057E-2</v>
      </c>
      <c r="H70" s="2">
        <f t="shared" si="14"/>
        <v>1.033702279403137E-3</v>
      </c>
      <c r="I70" s="75">
        <v>1E-3</v>
      </c>
      <c r="J70">
        <f t="shared" si="15"/>
        <v>-0.25</v>
      </c>
      <c r="K70">
        <v>5</v>
      </c>
      <c r="L70" s="2">
        <f t="shared" si="16"/>
        <v>-4.7619047619047672E-2</v>
      </c>
    </row>
    <row r="71" spans="2:15">
      <c r="B71" s="1">
        <v>45536</v>
      </c>
      <c r="C71" s="3">
        <v>1052</v>
      </c>
      <c r="D71" s="3">
        <v>8236.9500000000007</v>
      </c>
      <c r="E71" s="17">
        <f t="shared" si="11"/>
        <v>285.09485094850947</v>
      </c>
      <c r="F71" s="17">
        <f t="shared" si="12"/>
        <v>118.19668955423062</v>
      </c>
      <c r="G71" s="2">
        <f t="shared" si="13"/>
        <v>-1.8656716417910446E-2</v>
      </c>
      <c r="H71" s="2">
        <f t="shared" si="14"/>
        <v>-1.6674963559330958E-2</v>
      </c>
      <c r="I71" s="75">
        <v>0</v>
      </c>
      <c r="J71">
        <f t="shared" si="15"/>
        <v>0</v>
      </c>
      <c r="K71">
        <v>5</v>
      </c>
      <c r="L71" s="2">
        <f t="shared" si="16"/>
        <v>0</v>
      </c>
      <c r="N71" s="5" t="s">
        <v>764</v>
      </c>
    </row>
    <row r="72" spans="2:15">
      <c r="B72" s="1">
        <v>45566</v>
      </c>
      <c r="C72" s="3">
        <v>1094</v>
      </c>
      <c r="D72" s="3">
        <v>8110.1</v>
      </c>
      <c r="E72" s="17">
        <f t="shared" si="11"/>
        <v>296.47696476964768</v>
      </c>
      <c r="F72" s="17">
        <f t="shared" si="12"/>
        <v>116.37644661601267</v>
      </c>
      <c r="G72" s="2">
        <f t="shared" si="13"/>
        <v>3.9923954372623527E-2</v>
      </c>
      <c r="H72" s="2">
        <f t="shared" si="14"/>
        <v>-1.5400117762035759E-2</v>
      </c>
      <c r="I72" s="75">
        <v>-2E-3</v>
      </c>
      <c r="J72">
        <f t="shared" si="15"/>
        <v>0</v>
      </c>
      <c r="K72">
        <v>5</v>
      </c>
      <c r="L72" s="2">
        <f t="shared" si="16"/>
        <v>0</v>
      </c>
      <c r="N72" s="45" t="s">
        <v>757</v>
      </c>
    </row>
    <row r="73" spans="2:15">
      <c r="B73" s="1">
        <v>45597</v>
      </c>
      <c r="C73" s="3">
        <v>1040</v>
      </c>
      <c r="D73" s="3">
        <v>8287.2999999999993</v>
      </c>
      <c r="E73" s="17">
        <f t="shared" si="11"/>
        <v>281.84281842818427</v>
      </c>
      <c r="F73" s="17">
        <f t="shared" si="12"/>
        <v>118.91919039726781</v>
      </c>
      <c r="G73" s="2">
        <f t="shared" si="13"/>
        <v>-4.9360146252285242E-2</v>
      </c>
      <c r="H73" s="2">
        <f t="shared" si="14"/>
        <v>2.1849299022206781E-2</v>
      </c>
      <c r="I73" s="75">
        <v>0</v>
      </c>
      <c r="J73">
        <f t="shared" si="15"/>
        <v>0</v>
      </c>
      <c r="K73">
        <v>5</v>
      </c>
      <c r="L73" s="2">
        <f t="shared" si="16"/>
        <v>0</v>
      </c>
    </row>
    <row r="74" spans="2:15">
      <c r="B74" s="1">
        <v>45627</v>
      </c>
      <c r="C74">
        <v>905</v>
      </c>
      <c r="D74" s="3">
        <v>8173.02</v>
      </c>
      <c r="E74" s="17">
        <f t="shared" si="11"/>
        <v>245.25745257452573</v>
      </c>
      <c r="F74" s="17">
        <f t="shared" si="12"/>
        <v>117.27932155233647</v>
      </c>
      <c r="G74" s="2">
        <f t="shared" si="13"/>
        <v>-0.12980769230769229</v>
      </c>
      <c r="H74" s="2">
        <f t="shared" si="14"/>
        <v>-1.3789774715528447E-2</v>
      </c>
      <c r="I74" s="75">
        <v>4.0000000000000001E-3</v>
      </c>
      <c r="J74">
        <f t="shared" si="15"/>
        <v>-0.25</v>
      </c>
      <c r="K74">
        <v>4.75</v>
      </c>
      <c r="L74" s="2">
        <f t="shared" si="16"/>
        <v>-5.0000000000000044E-2</v>
      </c>
      <c r="N74" s="45" t="s">
        <v>758</v>
      </c>
    </row>
    <row r="75" spans="2:15">
      <c r="B75" s="1">
        <v>45658</v>
      </c>
      <c r="C75">
        <v>732</v>
      </c>
      <c r="D75" s="3">
        <v>8673.9599999999991</v>
      </c>
      <c r="E75" s="17">
        <f t="shared" si="11"/>
        <v>198.3739837398374</v>
      </c>
      <c r="F75" s="17">
        <f t="shared" si="12"/>
        <v>124.46759508383734</v>
      </c>
      <c r="G75" s="2">
        <f t="shared" si="13"/>
        <v>-0.19116022099447516</v>
      </c>
      <c r="H75" s="2">
        <f t="shared" si="14"/>
        <v>6.1291909233061714E-2</v>
      </c>
      <c r="I75" s="75">
        <v>-3.0000000000000001E-3</v>
      </c>
      <c r="J75">
        <f t="shared" si="15"/>
        <v>0</v>
      </c>
      <c r="K75">
        <v>4.75</v>
      </c>
      <c r="L75" s="2">
        <f t="shared" si="16"/>
        <v>0</v>
      </c>
    </row>
    <row r="76" spans="2:15">
      <c r="B76" s="1">
        <v>45689</v>
      </c>
      <c r="C76">
        <v>659</v>
      </c>
      <c r="D76" s="3">
        <v>8809.74</v>
      </c>
      <c r="E76" s="17">
        <f t="shared" si="11"/>
        <v>178.59078590785907</v>
      </c>
      <c r="F76" s="17">
        <f t="shared" si="12"/>
        <v>126.41597968100906</v>
      </c>
      <c r="G76" s="2">
        <f t="shared" si="13"/>
        <v>-9.9726775956284208E-2</v>
      </c>
      <c r="H76" s="2">
        <f t="shared" si="14"/>
        <v>1.5653749844361853E-2</v>
      </c>
      <c r="I76" s="75">
        <v>0</v>
      </c>
      <c r="J76">
        <f t="shared" si="15"/>
        <v>0</v>
      </c>
      <c r="K76">
        <v>4.75</v>
      </c>
      <c r="L76" s="2">
        <f t="shared" si="16"/>
        <v>0</v>
      </c>
      <c r="N76" s="45" t="s">
        <v>759</v>
      </c>
    </row>
    <row r="77" spans="2:15">
      <c r="B77" s="1">
        <v>45717</v>
      </c>
      <c r="C77">
        <v>662</v>
      </c>
      <c r="D77" s="3">
        <v>8582.81</v>
      </c>
      <c r="E77" s="17">
        <f t="shared" si="11"/>
        <v>179.40379403794037</v>
      </c>
      <c r="F77" s="17">
        <f t="shared" si="12"/>
        <v>123.15963179003708</v>
      </c>
      <c r="G77" s="2">
        <f t="shared" si="13"/>
        <v>4.5523520485584168E-3</v>
      </c>
      <c r="H77" s="2">
        <f t="shared" si="14"/>
        <v>-2.5758989482095984E-2</v>
      </c>
      <c r="I77" s="75">
        <v>2E-3</v>
      </c>
      <c r="J77">
        <f t="shared" si="15"/>
        <v>-0.25</v>
      </c>
      <c r="K77">
        <v>4.5</v>
      </c>
      <c r="L77" s="2">
        <f t="shared" si="16"/>
        <v>-5.2631578947368474E-2</v>
      </c>
    </row>
    <row r="78" spans="2:15">
      <c r="B78" s="1">
        <v>45748</v>
      </c>
      <c r="C78">
        <v>755</v>
      </c>
      <c r="D78" s="3">
        <v>8494.85</v>
      </c>
      <c r="E78" s="17">
        <f t="shared" si="11"/>
        <v>204.60704607046071</v>
      </c>
      <c r="F78" s="17">
        <f t="shared" si="12"/>
        <v>121.89744362412736</v>
      </c>
      <c r="G78" s="2">
        <f t="shared" si="13"/>
        <v>0.1404833836858006</v>
      </c>
      <c r="H78" s="2">
        <f t="shared" si="14"/>
        <v>-1.0248391843696747E-2</v>
      </c>
      <c r="I78" s="75">
        <v>-2E-3</v>
      </c>
      <c r="J78">
        <f t="shared" si="15"/>
        <v>0</v>
      </c>
      <c r="K78">
        <v>4.5</v>
      </c>
      <c r="L78" s="2">
        <f t="shared" si="16"/>
        <v>0</v>
      </c>
      <c r="N78" s="45" t="s">
        <v>760</v>
      </c>
    </row>
    <row r="79" spans="2:15">
      <c r="B79" s="1">
        <v>45778</v>
      </c>
      <c r="C79">
        <v>820</v>
      </c>
      <c r="D79" s="3">
        <v>8772.3799999999992</v>
      </c>
      <c r="E79" s="17">
        <f t="shared" si="11"/>
        <v>222.22222222222223</v>
      </c>
      <c r="F79" s="17">
        <f t="shared" si="12"/>
        <v>125.87987975060446</v>
      </c>
      <c r="G79" s="2">
        <f t="shared" si="13"/>
        <v>8.6092715231788075E-2</v>
      </c>
      <c r="H79" s="2">
        <f t="shared" si="14"/>
        <v>3.267038264360167E-2</v>
      </c>
      <c r="I79" s="75">
        <v>1E-3</v>
      </c>
      <c r="J79">
        <f t="shared" si="15"/>
        <v>0</v>
      </c>
      <c r="K79">
        <v>4.5</v>
      </c>
      <c r="L79" s="2">
        <f t="shared" si="16"/>
        <v>0</v>
      </c>
    </row>
    <row r="80" spans="2:15">
      <c r="B80" s="1">
        <v>45809</v>
      </c>
      <c r="C80">
        <v>850</v>
      </c>
      <c r="D80" s="3">
        <v>8760.9599999999991</v>
      </c>
      <c r="E80" s="17">
        <f t="shared" si="11"/>
        <v>230.35230352303523</v>
      </c>
      <c r="F80" s="17">
        <f t="shared" si="12"/>
        <v>125.71600766267028</v>
      </c>
      <c r="G80" s="2">
        <f t="shared" si="13"/>
        <v>3.6585365853658569E-2</v>
      </c>
      <c r="H80" s="2">
        <f t="shared" si="14"/>
        <v>-1.301813190947021E-3</v>
      </c>
      <c r="I80" s="75">
        <v>4.0000000000000001E-3</v>
      </c>
      <c r="J80">
        <f t="shared" si="15"/>
        <v>-0.25</v>
      </c>
      <c r="K80">
        <v>4.25</v>
      </c>
      <c r="L80" s="2">
        <f t="shared" si="16"/>
        <v>-5.555555555555558E-2</v>
      </c>
      <c r="N80" s="45" t="s">
        <v>761</v>
      </c>
    </row>
    <row r="81" spans="2:14">
      <c r="B81" s="1">
        <v>45839</v>
      </c>
      <c r="C81">
        <v>843</v>
      </c>
      <c r="D81" s="3">
        <v>9132.81</v>
      </c>
      <c r="E81" s="17">
        <f t="shared" si="11"/>
        <v>228.45528455284554</v>
      </c>
      <c r="F81" s="17">
        <f t="shared" si="12"/>
        <v>131.05189521944078</v>
      </c>
      <c r="G81" s="2">
        <f t="shared" si="13"/>
        <v>-8.2352941176470074E-3</v>
      </c>
      <c r="H81" s="2">
        <f t="shared" si="14"/>
        <v>4.2443978742055632E-2</v>
      </c>
      <c r="I81" s="75">
        <v>0</v>
      </c>
      <c r="J81">
        <f t="shared" si="15"/>
        <v>0</v>
      </c>
      <c r="K81">
        <v>4.25</v>
      </c>
      <c r="L81" s="2">
        <f t="shared" si="16"/>
        <v>0</v>
      </c>
    </row>
    <row r="82" spans="2:14">
      <c r="B82" s="1">
        <v>45870</v>
      </c>
      <c r="C82">
        <v>801</v>
      </c>
      <c r="D82" s="3">
        <v>9187.34</v>
      </c>
      <c r="E82" s="17">
        <f t="shared" si="11"/>
        <v>217.07317073170734</v>
      </c>
      <c r="F82" s="17">
        <f t="shared" si="12"/>
        <v>131.83437726454147</v>
      </c>
      <c r="G82" s="2">
        <f t="shared" si="13"/>
        <v>-4.9822064056939452E-2</v>
      </c>
      <c r="H82" s="2">
        <f t="shared" si="14"/>
        <v>5.9707800775445907E-3</v>
      </c>
      <c r="I82" s="75">
        <v>0</v>
      </c>
      <c r="J82">
        <f t="shared" si="15"/>
        <v>0</v>
      </c>
      <c r="K82">
        <v>4.25</v>
      </c>
      <c r="L82" s="2">
        <f t="shared" si="16"/>
        <v>0</v>
      </c>
      <c r="N82" s="45" t="s">
        <v>762</v>
      </c>
    </row>
    <row r="83" spans="2:14">
      <c r="B83" s="1">
        <v>45901</v>
      </c>
      <c r="C83">
        <v>810</v>
      </c>
      <c r="D83" s="3">
        <v>9350.43</v>
      </c>
      <c r="E83" s="17">
        <f t="shared" si="11"/>
        <v>219.51219512195124</v>
      </c>
      <c r="F83" s="17">
        <f t="shared" si="12"/>
        <v>134.17464861490777</v>
      </c>
      <c r="G83" s="2">
        <f t="shared" si="13"/>
        <v>1.1235955056179803E-2</v>
      </c>
      <c r="H83" s="2">
        <f t="shared" si="14"/>
        <v>1.7751601660545901E-2</v>
      </c>
      <c r="I83" s="75">
        <v>3.0000000000000001E-3</v>
      </c>
      <c r="J83">
        <f t="shared" si="15"/>
        <v>-0.25</v>
      </c>
      <c r="K83">
        <v>4</v>
      </c>
      <c r="L83" s="2">
        <f t="shared" si="16"/>
        <v>-5.8823529411764719E-2</v>
      </c>
    </row>
    <row r="84" spans="2:14">
      <c r="B84" s="1">
        <v>45931</v>
      </c>
      <c r="C84">
        <v>926</v>
      </c>
      <c r="D84" s="3">
        <v>9717.25</v>
      </c>
      <c r="E84" s="17">
        <f t="shared" si="11"/>
        <v>250.94850948509486</v>
      </c>
      <c r="F84" s="17">
        <f t="shared" si="12"/>
        <v>139.43835783522388</v>
      </c>
      <c r="G84" s="2">
        <f t="shared" si="13"/>
        <v>0.14320987654320994</v>
      </c>
      <c r="H84" s="2">
        <f t="shared" si="14"/>
        <v>3.9230281388128674E-2</v>
      </c>
      <c r="I84" s="75">
        <v>6.0000000000000001E-3</v>
      </c>
      <c r="J84">
        <f t="shared" si="15"/>
        <v>0</v>
      </c>
      <c r="K84">
        <v>4</v>
      </c>
      <c r="L84" s="2">
        <f t="shared" si="16"/>
        <v>0</v>
      </c>
      <c r="N84" t="s">
        <v>763</v>
      </c>
    </row>
    <row r="85" spans="2:14">
      <c r="B85" s="1">
        <v>45962</v>
      </c>
      <c r="C85">
        <v>934</v>
      </c>
      <c r="D85" s="3">
        <v>9720.51</v>
      </c>
      <c r="E85" s="17">
        <f t="shared" si="11"/>
        <v>253.11653116531164</v>
      </c>
      <c r="F85" s="17">
        <f t="shared" si="12"/>
        <v>139.48513743300543</v>
      </c>
      <c r="G85" s="2">
        <f t="shared" si="13"/>
        <v>8.6393088552916275E-3</v>
      </c>
      <c r="H85" s="2">
        <f t="shared" si="14"/>
        <v>3.3548586276976877E-4</v>
      </c>
      <c r="I85" s="75">
        <v>2E-3</v>
      </c>
      <c r="J85">
        <f t="shared" si="15"/>
        <v>0</v>
      </c>
      <c r="K85">
        <v>4</v>
      </c>
      <c r="L85" s="2">
        <f t="shared" si="16"/>
        <v>0</v>
      </c>
    </row>
    <row r="86" spans="2:14">
      <c r="B86" s="1">
        <v>45992</v>
      </c>
      <c r="C86">
        <v>891</v>
      </c>
      <c r="D86" s="3">
        <v>9931.3799999999992</v>
      </c>
      <c r="E86" s="17">
        <f t="shared" si="11"/>
        <v>241.46341463414635</v>
      </c>
      <c r="F86" s="17">
        <f t="shared" si="12"/>
        <v>142.51103123183881</v>
      </c>
      <c r="G86" s="2">
        <f t="shared" si="13"/>
        <v>-4.6038543897216289E-2</v>
      </c>
      <c r="H86" s="2">
        <f t="shared" si="14"/>
        <v>2.1693306215414543E-2</v>
      </c>
      <c r="I86" s="75">
        <v>5.0000000000000001E-3</v>
      </c>
      <c r="J86">
        <f t="shared" si="15"/>
        <v>0</v>
      </c>
      <c r="K86">
        <v>4</v>
      </c>
      <c r="L86" s="2">
        <f t="shared" si="16"/>
        <v>0</v>
      </c>
    </row>
    <row r="87" spans="2:14">
      <c r="B87" s="1">
        <v>46023</v>
      </c>
      <c r="C87">
        <v>919</v>
      </c>
      <c r="D87" s="3">
        <v>10223.540000000001</v>
      </c>
      <c r="E87" s="17">
        <f t="shared" si="11"/>
        <v>249.05149051490514</v>
      </c>
      <c r="F87" s="17">
        <f t="shared" si="12"/>
        <v>146.70340156553806</v>
      </c>
      <c r="G87" s="2">
        <f t="shared" si="13"/>
        <v>3.1425364758698171E-2</v>
      </c>
      <c r="H87" s="2">
        <f t="shared" si="14"/>
        <v>2.9417865392322273E-2</v>
      </c>
      <c r="I87" s="75">
        <v>-8.0000000000000002E-3</v>
      </c>
      <c r="J87">
        <f t="shared" si="15"/>
        <v>-0.25</v>
      </c>
      <c r="K87">
        <v>3.75</v>
      </c>
      <c r="L87" s="2">
        <f t="shared" si="16"/>
        <v>-6.25E-2</v>
      </c>
    </row>
    <row r="89" spans="2:14">
      <c r="E89" s="17">
        <f>E87/E3</f>
        <v>2.4905149051490514</v>
      </c>
    </row>
  </sheetData>
  <sortState xmlns:xlrd2="http://schemas.microsoft.com/office/spreadsheetml/2017/richdata2" ref="B3:E87">
    <sortCondition ref="B3:B87"/>
  </sortState>
  <dataConsolidate/>
  <hyperlinks>
    <hyperlink ref="A1" location="Main!A1" display="Main" xr:uid="{98B406B5-984E-5B40-A258-02852251F70D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F940-D686-2D4F-AB25-2A5426B64A83}">
  <dimension ref="A1:I109"/>
  <sheetViews>
    <sheetView zoomScale="136" workbookViewId="0">
      <selection activeCell="B8" sqref="B8"/>
    </sheetView>
  </sheetViews>
  <sheetFormatPr baseColWidth="10" defaultRowHeight="13"/>
  <cols>
    <col min="1" max="1" width="17.33203125" bestFit="1" customWidth="1"/>
    <col min="2" max="9" width="13.83203125" customWidth="1"/>
  </cols>
  <sheetData>
    <row r="1" spans="1:9">
      <c r="A1" t="s">
        <v>725</v>
      </c>
    </row>
    <row r="2" spans="1:9" ht="14" thickBot="1"/>
    <row r="3" spans="1:9">
      <c r="A3" s="82" t="s">
        <v>726</v>
      </c>
      <c r="B3" s="82"/>
    </row>
    <row r="4" spans="1:9">
      <c r="A4" t="s">
        <v>727</v>
      </c>
      <c r="B4">
        <v>0.45058721936704038</v>
      </c>
    </row>
    <row r="5" spans="1:9">
      <c r="A5" s="5" t="s">
        <v>728</v>
      </c>
      <c r="B5" s="5">
        <v>0.20302884225692139</v>
      </c>
    </row>
    <row r="6" spans="1:9">
      <c r="A6" t="s">
        <v>729</v>
      </c>
      <c r="B6">
        <v>0.17276411474769054</v>
      </c>
    </row>
    <row r="7" spans="1:9">
      <c r="A7" t="s">
        <v>730</v>
      </c>
      <c r="B7">
        <v>8.1836737433433518E-2</v>
      </c>
    </row>
    <row r="8" spans="1:9" ht="14" thickBot="1">
      <c r="A8" s="80" t="s">
        <v>731</v>
      </c>
      <c r="B8" s="80">
        <v>83</v>
      </c>
    </row>
    <row r="10" spans="1:9" ht="14" thickBot="1">
      <c r="A10" t="s">
        <v>732</v>
      </c>
    </row>
    <row r="11" spans="1:9">
      <c r="A11" s="81"/>
      <c r="B11" s="81" t="s">
        <v>737</v>
      </c>
      <c r="C11" s="81" t="s">
        <v>738</v>
      </c>
      <c r="D11" s="81" t="s">
        <v>739</v>
      </c>
      <c r="E11" s="81" t="s">
        <v>740</v>
      </c>
      <c r="F11" s="81" t="s">
        <v>741</v>
      </c>
    </row>
    <row r="12" spans="1:9">
      <c r="A12" t="s">
        <v>733</v>
      </c>
      <c r="B12">
        <v>3</v>
      </c>
      <c r="C12">
        <v>0.134784154620332</v>
      </c>
      <c r="D12">
        <v>4.4928051540110668E-2</v>
      </c>
      <c r="E12">
        <v>6.7084311991574017</v>
      </c>
      <c r="F12">
        <v>4.3183210729728298E-4</v>
      </c>
    </row>
    <row r="13" spans="1:9">
      <c r="A13" t="s">
        <v>734</v>
      </c>
      <c r="B13">
        <v>79</v>
      </c>
      <c r="C13">
        <v>0.52908287590615033</v>
      </c>
      <c r="D13">
        <v>6.6972515937487381E-3</v>
      </c>
    </row>
    <row r="14" spans="1:9" ht="14" thickBot="1">
      <c r="A14" s="80" t="s">
        <v>735</v>
      </c>
      <c r="B14" s="80">
        <v>82</v>
      </c>
      <c r="C14" s="80">
        <v>0.66386703052648233</v>
      </c>
      <c r="D14" s="80"/>
      <c r="E14" s="80"/>
      <c r="F14" s="80"/>
    </row>
    <row r="15" spans="1:9" ht="14" thickBot="1"/>
    <row r="16" spans="1:9">
      <c r="A16" s="81"/>
      <c r="B16" s="81" t="s">
        <v>742</v>
      </c>
      <c r="C16" s="81" t="s">
        <v>730</v>
      </c>
      <c r="D16" s="81" t="s">
        <v>743</v>
      </c>
      <c r="E16" s="83" t="s">
        <v>744</v>
      </c>
      <c r="F16" s="81" t="s">
        <v>745</v>
      </c>
      <c r="G16" s="81" t="s">
        <v>746</v>
      </c>
      <c r="H16" s="81" t="s">
        <v>747</v>
      </c>
      <c r="I16" s="81" t="s">
        <v>748</v>
      </c>
    </row>
    <row r="17" spans="1:9">
      <c r="A17" t="s">
        <v>736</v>
      </c>
      <c r="B17">
        <v>2.1216595362443351E-3</v>
      </c>
      <c r="C17">
        <v>1.0687060590269056E-2</v>
      </c>
      <c r="D17">
        <v>0.19852601361464917</v>
      </c>
      <c r="E17" s="5">
        <v>0.84314354779025269</v>
      </c>
      <c r="F17">
        <v>-1.9150402462398831E-2</v>
      </c>
      <c r="G17">
        <v>2.3393721534887502E-2</v>
      </c>
      <c r="H17">
        <v>-1.9150402462398831E-2</v>
      </c>
      <c r="I17">
        <v>2.3393721534887502E-2</v>
      </c>
    </row>
    <row r="18" spans="1:9">
      <c r="A18">
        <v>1.5193324580095702E-2</v>
      </c>
      <c r="B18">
        <v>0.99432285808068799</v>
      </c>
      <c r="C18">
        <v>0.25017573323157088</v>
      </c>
      <c r="D18">
        <v>3.974497627075245</v>
      </c>
      <c r="E18" s="5">
        <v>1.5494630097592557E-4</v>
      </c>
      <c r="F18">
        <v>0.49636051727543112</v>
      </c>
      <c r="G18">
        <v>1.4922851988859449</v>
      </c>
      <c r="H18">
        <v>0.49636051727543112</v>
      </c>
      <c r="I18">
        <v>1.4922851988859449</v>
      </c>
    </row>
    <row r="19" spans="1:9">
      <c r="A19">
        <v>4.0000000000000001E-3</v>
      </c>
      <c r="B19">
        <v>2.9504032056496956</v>
      </c>
      <c r="C19">
        <v>1.8817650727195547</v>
      </c>
      <c r="D19">
        <v>1.5678913634982763</v>
      </c>
      <c r="E19" s="5">
        <v>0.12090352218914541</v>
      </c>
      <c r="F19">
        <v>-0.79515647894865549</v>
      </c>
      <c r="G19">
        <v>6.6959628902480466</v>
      </c>
      <c r="H19">
        <v>-0.79515647894865549</v>
      </c>
      <c r="I19">
        <v>6.6959628902480466</v>
      </c>
    </row>
    <row r="20" spans="1:9" ht="14" thickBot="1">
      <c r="A20" s="80">
        <v>0</v>
      </c>
      <c r="B20" s="80">
        <v>-5.4522913789097106E-2</v>
      </c>
      <c r="C20" s="80">
        <v>5.0072456581472774E-2</v>
      </c>
      <c r="D20" s="80">
        <v>-1.0888803448335513</v>
      </c>
      <c r="E20" s="84">
        <v>0.27951724593359561</v>
      </c>
      <c r="F20" s="80">
        <v>-0.15418964551842859</v>
      </c>
      <c r="G20" s="80">
        <v>4.5143817940234365E-2</v>
      </c>
      <c r="H20" s="80">
        <v>-0.15418964551842859</v>
      </c>
      <c r="I20" s="80">
        <v>4.5143817940234365E-2</v>
      </c>
    </row>
    <row r="24" spans="1:9">
      <c r="A24" t="s">
        <v>749</v>
      </c>
    </row>
    <row r="25" spans="1:9" ht="14" thickBot="1"/>
    <row r="26" spans="1:9">
      <c r="A26" s="81" t="s">
        <v>750</v>
      </c>
      <c r="B26" s="81" t="s">
        <v>751</v>
      </c>
      <c r="C26" s="81" t="s">
        <v>752</v>
      </c>
    </row>
    <row r="27" spans="1:9">
      <c r="A27">
        <v>1</v>
      </c>
      <c r="B27">
        <v>2.4956826308822982E-2</v>
      </c>
      <c r="C27">
        <v>4.1356171038657102E-2</v>
      </c>
    </row>
    <row r="28" spans="1:9">
      <c r="A28">
        <v>2</v>
      </c>
      <c r="B28">
        <v>3.2914493491820587E-2</v>
      </c>
      <c r="C28">
        <v>-6.1521458665949894E-2</v>
      </c>
    </row>
    <row r="29" spans="1:9">
      <c r="A29">
        <v>3</v>
      </c>
      <c r="B29">
        <v>-3.2260410060812296E-2</v>
      </c>
      <c r="C29">
        <v>0.13341277881881478</v>
      </c>
    </row>
    <row r="30" spans="1:9">
      <c r="A30">
        <v>4</v>
      </c>
      <c r="B30">
        <v>4.7615191825384158E-2</v>
      </c>
      <c r="C30">
        <v>-8.249891275561666E-2</v>
      </c>
    </row>
    <row r="31" spans="1:9">
      <c r="A31">
        <v>5</v>
      </c>
      <c r="B31">
        <v>2.6650720523079305E-2</v>
      </c>
      <c r="C31">
        <v>-6.2795298836332322E-2</v>
      </c>
    </row>
    <row r="32" spans="1:9">
      <c r="A32">
        <v>6</v>
      </c>
      <c r="B32">
        <v>-3.8777480392651886E-2</v>
      </c>
      <c r="C32">
        <v>5.0274803926519396E-3</v>
      </c>
    </row>
    <row r="33" spans="1:3">
      <c r="A33">
        <v>7</v>
      </c>
      <c r="B33">
        <v>3.5757131123099195E-2</v>
      </c>
      <c r="C33">
        <v>-3.9638114305505456E-2</v>
      </c>
    </row>
    <row r="34" spans="1:3">
      <c r="A34">
        <v>8</v>
      </c>
      <c r="B34">
        <v>1.6074268328176194E-2</v>
      </c>
      <c r="C34">
        <v>-2.126907352298139E-2</v>
      </c>
    </row>
    <row r="35" spans="1:3">
      <c r="A35">
        <v>9</v>
      </c>
      <c r="B35">
        <v>2.4436951957988208E-2</v>
      </c>
      <c r="C35">
        <v>-6.1601895558994549E-3</v>
      </c>
    </row>
    <row r="36" spans="1:3">
      <c r="A36">
        <v>10</v>
      </c>
      <c r="B36">
        <v>4.0438891450657648E-2</v>
      </c>
      <c r="C36">
        <v>0.35956110854934226</v>
      </c>
    </row>
    <row r="37" spans="1:3">
      <c r="A37">
        <v>11</v>
      </c>
      <c r="B37">
        <v>-3.4634012322206031E-2</v>
      </c>
      <c r="C37">
        <v>-4.9615071926878251E-2</v>
      </c>
    </row>
    <row r="38" spans="1:3">
      <c r="A38">
        <v>12</v>
      </c>
      <c r="B38">
        <v>-8.5293172766886041E-2</v>
      </c>
      <c r="C38">
        <v>7.3293172766886031E-2</v>
      </c>
    </row>
    <row r="39" spans="1:3">
      <c r="A39">
        <v>13</v>
      </c>
      <c r="B39">
        <v>-0.13222394249090616</v>
      </c>
      <c r="C39">
        <v>-0.10664245427022748</v>
      </c>
    </row>
    <row r="40" spans="1:3">
      <c r="A40">
        <v>14</v>
      </c>
      <c r="B40">
        <v>9.5452640356769036E-2</v>
      </c>
      <c r="C40">
        <v>0.10667501921769906</v>
      </c>
    </row>
    <row r="41" spans="1:3">
      <c r="A41">
        <v>15</v>
      </c>
      <c r="B41">
        <v>3.1673952384452107E-2</v>
      </c>
      <c r="C41">
        <v>-7.337669198611417E-3</v>
      </c>
    </row>
    <row r="42" spans="1:3">
      <c r="A42">
        <v>16</v>
      </c>
      <c r="B42">
        <v>2.621350223775289E-2</v>
      </c>
      <c r="C42">
        <v>-6.9410046514210802E-2</v>
      </c>
    </row>
    <row r="43" spans="1:3">
      <c r="A43">
        <v>17</v>
      </c>
      <c r="B43">
        <v>-4.7611776927664266E-2</v>
      </c>
      <c r="C43">
        <v>3.181042252585841E-2</v>
      </c>
    </row>
    <row r="44" spans="1:3">
      <c r="A44">
        <v>18</v>
      </c>
      <c r="B44">
        <v>1.6167188228568628E-2</v>
      </c>
      <c r="C44">
        <v>-4.5983701990036506E-2</v>
      </c>
    </row>
    <row r="45" spans="1:3">
      <c r="A45">
        <v>19</v>
      </c>
      <c r="B45">
        <v>-5.2785790526839625E-3</v>
      </c>
      <c r="C45">
        <v>8.0928697255993762E-2</v>
      </c>
    </row>
    <row r="46" spans="1:3">
      <c r="A46">
        <v>20</v>
      </c>
      <c r="B46">
        <v>-3.7984746826664584E-2</v>
      </c>
      <c r="C46">
        <v>-5.9712971293793271E-3</v>
      </c>
    </row>
    <row r="47" spans="1:3">
      <c r="A47">
        <v>21</v>
      </c>
      <c r="B47">
        <v>0.14264562109980317</v>
      </c>
      <c r="C47">
        <v>-4.7145866170444917E-3</v>
      </c>
    </row>
    <row r="48" spans="1:3">
      <c r="A48">
        <v>22</v>
      </c>
      <c r="B48">
        <v>5.0660481913172253E-2</v>
      </c>
      <c r="C48">
        <v>8.0652649399959017E-2</v>
      </c>
    </row>
    <row r="49" spans="1:3">
      <c r="A49">
        <v>23</v>
      </c>
      <c r="B49">
        <v>-2.3747094737211285E-2</v>
      </c>
      <c r="C49">
        <v>-4.0538619548502991E-2</v>
      </c>
    </row>
    <row r="50" spans="1:3">
      <c r="A50">
        <v>24</v>
      </c>
      <c r="B50">
        <v>2.5712453645716525E-2</v>
      </c>
      <c r="C50">
        <v>-6.7697186470144027E-2</v>
      </c>
    </row>
    <row r="51" spans="1:3">
      <c r="A51">
        <v>25</v>
      </c>
      <c r="B51">
        <v>3.1525178448141865E-2</v>
      </c>
      <c r="C51">
        <v>9.1980797647475548E-2</v>
      </c>
    </row>
    <row r="52" spans="1:3">
      <c r="A52">
        <v>26</v>
      </c>
      <c r="B52">
        <v>4.0063224648279175E-2</v>
      </c>
      <c r="C52">
        <v>6.8092803720515169E-2</v>
      </c>
    </row>
    <row r="53" spans="1:3">
      <c r="A53">
        <v>27</v>
      </c>
      <c r="B53">
        <v>2.4406197528027005E-2</v>
      </c>
      <c r="C53">
        <v>-6.806197528026945E-3</v>
      </c>
    </row>
    <row r="54" spans="1:3">
      <c r="A54">
        <v>28</v>
      </c>
      <c r="B54">
        <v>1.3076878584313785E-2</v>
      </c>
      <c r="C54">
        <v>4.8243876132667389E-2</v>
      </c>
    </row>
    <row r="55" spans="1:3">
      <c r="A55">
        <v>29</v>
      </c>
      <c r="B55">
        <v>-1.0410421647324681E-2</v>
      </c>
      <c r="C55">
        <v>0.11559560683250995</v>
      </c>
    </row>
    <row r="56" spans="1:3">
      <c r="A56">
        <v>30</v>
      </c>
      <c r="B56">
        <v>1.7429871395713045E-2</v>
      </c>
      <c r="C56">
        <v>1.0720262652544235E-2</v>
      </c>
    </row>
    <row r="57" spans="1:3">
      <c r="A57">
        <v>31</v>
      </c>
      <c r="B57">
        <v>1.8126664691787957E-2</v>
      </c>
      <c r="C57">
        <v>1.1860297498564171E-2</v>
      </c>
    </row>
    <row r="58" spans="1:3">
      <c r="A58">
        <v>32</v>
      </c>
      <c r="B58">
        <v>5.873493611508912E-2</v>
      </c>
      <c r="C58">
        <v>-9.2912151304962498E-2</v>
      </c>
    </row>
    <row r="59" spans="1:3">
      <c r="A59">
        <v>33</v>
      </c>
      <c r="B59">
        <v>1.254132224118893E-3</v>
      </c>
      <c r="C59">
        <v>5.1170507356484055E-2</v>
      </c>
    </row>
    <row r="60" spans="1:3">
      <c r="A60">
        <v>34</v>
      </c>
      <c r="B60">
        <v>8.0364990241159256E-2</v>
      </c>
      <c r="C60">
        <v>-4.0514429842653715E-2</v>
      </c>
    </row>
    <row r="61" spans="1:3">
      <c r="A61">
        <v>35</v>
      </c>
      <c r="B61">
        <v>-1.301014621438208E-2</v>
      </c>
      <c r="C61">
        <v>-0.12471440468382149</v>
      </c>
    </row>
    <row r="62" spans="1:3">
      <c r="A62">
        <v>36</v>
      </c>
      <c r="B62">
        <v>1.3108031971314977E-2</v>
      </c>
      <c r="C62">
        <v>-6.8663587526870559E-2</v>
      </c>
    </row>
    <row r="63" spans="1:3">
      <c r="A63">
        <v>37</v>
      </c>
      <c r="B63">
        <v>7.9490265636083645E-3</v>
      </c>
      <c r="C63">
        <v>-2.0666736224319148E-3</v>
      </c>
    </row>
    <row r="64" spans="1:3">
      <c r="A64">
        <v>38</v>
      </c>
      <c r="B64">
        <v>5.131849003314224E-2</v>
      </c>
      <c r="C64">
        <v>-2.9388665471738774E-2</v>
      </c>
    </row>
    <row r="65" spans="1:3">
      <c r="A65">
        <v>39</v>
      </c>
      <c r="B65">
        <v>2.5191165086528272E-2</v>
      </c>
      <c r="C65">
        <v>-3.5205471238173497E-2</v>
      </c>
    </row>
    <row r="66" spans="1:3">
      <c r="A66">
        <v>40</v>
      </c>
      <c r="B66">
        <v>-5.4053416616887888E-2</v>
      </c>
      <c r="C66">
        <v>-2.1091092053632361E-2</v>
      </c>
    </row>
    <row r="67" spans="1:3">
      <c r="A67">
        <v>41</v>
      </c>
      <c r="B67">
        <v>4.1441960278290141E-2</v>
      </c>
      <c r="C67">
        <v>0.11637053972170977</v>
      </c>
    </row>
    <row r="68" spans="1:3">
      <c r="A68">
        <v>42</v>
      </c>
      <c r="B68">
        <v>7.0691845587541541E-3</v>
      </c>
      <c r="C68">
        <v>-0.13932289575983381</v>
      </c>
    </row>
    <row r="69" spans="1:3">
      <c r="A69">
        <v>43</v>
      </c>
      <c r="B69">
        <v>-5.7770334600148791E-2</v>
      </c>
      <c r="C69">
        <v>-5.5759991993941445E-2</v>
      </c>
    </row>
    <row r="70" spans="1:3">
      <c r="A70">
        <v>44</v>
      </c>
      <c r="B70">
        <v>7.7570962316310152E-2</v>
      </c>
      <c r="C70">
        <v>-3.7797986016978313E-4</v>
      </c>
    </row>
    <row r="71" spans="1:3">
      <c r="A71">
        <v>45</v>
      </c>
      <c r="B71">
        <v>0.10164232385778907</v>
      </c>
      <c r="C71">
        <v>1.0735526305077431E-2</v>
      </c>
    </row>
    <row r="72" spans="1:3">
      <c r="A72">
        <v>46</v>
      </c>
      <c r="B72">
        <v>-3.1095005102744797E-2</v>
      </c>
      <c r="C72">
        <v>0.10283731842631719</v>
      </c>
    </row>
    <row r="73" spans="1:3">
      <c r="A73">
        <v>47</v>
      </c>
      <c r="B73">
        <v>1.4603659081108489E-2</v>
      </c>
      <c r="C73">
        <v>-1.4603659081108489E-2</v>
      </c>
    </row>
    <row r="74" spans="1:3">
      <c r="A74">
        <v>48</v>
      </c>
      <c r="B74">
        <v>3.0253796322895408E-2</v>
      </c>
      <c r="C74">
        <v>-5.6210080475900842E-2</v>
      </c>
    </row>
    <row r="75" spans="1:3">
      <c r="A75">
        <v>49</v>
      </c>
      <c r="B75">
        <v>-3.5358364929656341E-2</v>
      </c>
      <c r="C75">
        <v>-1.6535043204986041E-2</v>
      </c>
    </row>
    <row r="76" spans="1:3">
      <c r="A76">
        <v>50</v>
      </c>
      <c r="B76">
        <v>5.2062009239292918E-2</v>
      </c>
      <c r="C76">
        <v>2.338177774295571E-2</v>
      </c>
    </row>
    <row r="77" spans="1:3">
      <c r="A77">
        <v>51</v>
      </c>
      <c r="B77">
        <v>-4.2647192755306942E-2</v>
      </c>
      <c r="C77">
        <v>2.6141002934124039E-2</v>
      </c>
    </row>
    <row r="78" spans="1:3">
      <c r="A78">
        <v>52</v>
      </c>
      <c r="B78">
        <v>2.0546336457593947E-2</v>
      </c>
      <c r="C78">
        <v>2.0013104101846549E-2</v>
      </c>
    </row>
    <row r="79" spans="1:3">
      <c r="A79">
        <v>53</v>
      </c>
      <c r="B79">
        <v>-2.9760508931654522E-3</v>
      </c>
      <c r="C79">
        <v>-1.58411534079098E-2</v>
      </c>
    </row>
    <row r="80" spans="1:3">
      <c r="A80">
        <v>54</v>
      </c>
      <c r="B80">
        <v>-1.673959525771835E-2</v>
      </c>
      <c r="C80">
        <v>3.0123909333474447E-4</v>
      </c>
    </row>
    <row r="81" spans="1:3">
      <c r="A81">
        <v>55</v>
      </c>
      <c r="B81">
        <v>2.8775405868709227E-2</v>
      </c>
      <c r="C81">
        <v>-3.5739194169544887E-2</v>
      </c>
    </row>
    <row r="82" spans="1:3">
      <c r="A82">
        <v>56</v>
      </c>
      <c r="B82">
        <v>-1.7601170917030319E-2</v>
      </c>
      <c r="C82">
        <v>2.3211269093748522E-2</v>
      </c>
    </row>
    <row r="83" spans="1:3">
      <c r="A83">
        <v>57</v>
      </c>
      <c r="B83">
        <v>2.8903143317241361E-2</v>
      </c>
      <c r="C83">
        <v>0.14543437411651045</v>
      </c>
    </row>
    <row r="84" spans="1:3">
      <c r="A84">
        <v>58</v>
      </c>
      <c r="B84">
        <v>4.2355751570332258E-2</v>
      </c>
      <c r="C84">
        <v>-2.216572781736318E-2</v>
      </c>
    </row>
    <row r="85" spans="1:3">
      <c r="A85">
        <v>59</v>
      </c>
      <c r="B85">
        <v>-1.6980227901784432E-2</v>
      </c>
      <c r="C85">
        <v>4.1427259333682069E-2</v>
      </c>
    </row>
    <row r="86" spans="1:3">
      <c r="A86">
        <v>60</v>
      </c>
      <c r="B86">
        <v>1.0901199858246389E-2</v>
      </c>
      <c r="C86">
        <v>-1.6583018040064623E-2</v>
      </c>
    </row>
    <row r="87" spans="1:3">
      <c r="A87">
        <v>61</v>
      </c>
      <c r="B87">
        <v>4.1211585715947477E-2</v>
      </c>
      <c r="C87">
        <v>1.4788414284052573E-2</v>
      </c>
    </row>
    <row r="88" spans="1:3">
      <c r="A88">
        <v>62</v>
      </c>
      <c r="B88">
        <v>2.6066318095440164E-2</v>
      </c>
      <c r="C88">
        <v>-3.3390453681674571E-3</v>
      </c>
    </row>
    <row r="89" spans="1:3">
      <c r="A89">
        <v>63</v>
      </c>
      <c r="B89">
        <v>2.9947681979402799E-2</v>
      </c>
      <c r="C89">
        <v>0.10021104817932734</v>
      </c>
    </row>
    <row r="90" spans="1:3">
      <c r="A90">
        <v>64</v>
      </c>
      <c r="B90">
        <v>-2.3048325637842482E-2</v>
      </c>
      <c r="C90">
        <v>1.743034810975258E-2</v>
      </c>
    </row>
    <row r="91" spans="1:3">
      <c r="A91">
        <v>65</v>
      </c>
      <c r="B91">
        <v>3.8751748403821375E-2</v>
      </c>
      <c r="C91">
        <v>-1.6152878347324186E-2</v>
      </c>
    </row>
    <row r="92" spans="1:3">
      <c r="A92">
        <v>66</v>
      </c>
      <c r="B92">
        <v>1.9730624994028959E-2</v>
      </c>
      <c r="C92">
        <v>-3.2621969377086016E-2</v>
      </c>
    </row>
    <row r="93" spans="1:3">
      <c r="A93">
        <v>67</v>
      </c>
      <c r="B93">
        <v>-1.4458637888460944E-2</v>
      </c>
      <c r="C93">
        <v>-4.1980785294495025E-3</v>
      </c>
    </row>
    <row r="94" spans="1:3">
      <c r="A94">
        <v>68</v>
      </c>
      <c r="B94">
        <v>-1.9091835982981621E-2</v>
      </c>
      <c r="C94">
        <v>5.9015790355605148E-2</v>
      </c>
    </row>
    <row r="95" spans="1:3">
      <c r="A95">
        <v>69</v>
      </c>
      <c r="B95">
        <v>2.3846916987064561E-2</v>
      </c>
      <c r="C95">
        <v>-7.3207063239349807E-2</v>
      </c>
    </row>
    <row r="96" spans="1:3">
      <c r="A96">
        <v>70</v>
      </c>
      <c r="B96">
        <v>1.3842512598684343E-2</v>
      </c>
      <c r="C96">
        <v>-0.14365020490637664</v>
      </c>
    </row>
    <row r="97" spans="1:3">
      <c r="A97">
        <v>71</v>
      </c>
      <c r="B97">
        <v>5.4214396285135275E-2</v>
      </c>
      <c r="C97">
        <v>-0.24537461727961044</v>
      </c>
    </row>
    <row r="98" spans="1:3">
      <c r="A98">
        <v>72</v>
      </c>
      <c r="B98">
        <v>1.7686540821170337E-2</v>
      </c>
      <c r="C98">
        <v>-0.11741331677745455</v>
      </c>
    </row>
    <row r="99" spans="1:3">
      <c r="A99">
        <v>73</v>
      </c>
      <c r="B99">
        <v>-3.9595576482900578E-3</v>
      </c>
      <c r="C99">
        <v>8.5119096968484746E-3</v>
      </c>
    </row>
    <row r="100" spans="1:3">
      <c r="A100">
        <v>74</v>
      </c>
      <c r="B100">
        <v>-1.3969357143810418E-2</v>
      </c>
      <c r="C100">
        <v>0.15445274082961102</v>
      </c>
    </row>
    <row r="101" spans="1:3">
      <c r="A101">
        <v>75</v>
      </c>
      <c r="B101">
        <v>3.7556970986669748E-2</v>
      </c>
      <c r="C101">
        <v>4.8535744245118327E-2</v>
      </c>
    </row>
    <row r="102" spans="1:3">
      <c r="A102">
        <v>76</v>
      </c>
      <c r="B102">
        <v>2.6259578193407813E-2</v>
      </c>
      <c r="C102">
        <v>1.0325787660250756E-2</v>
      </c>
    </row>
    <row r="103" spans="1:3">
      <c r="A103">
        <v>77</v>
      </c>
      <c r="B103">
        <v>4.4324677787361058E-2</v>
      </c>
      <c r="C103">
        <v>-5.2559971905008065E-2</v>
      </c>
    </row>
    <row r="104" spans="1:3">
      <c r="A104">
        <v>78</v>
      </c>
      <c r="B104">
        <v>8.0585426479197041E-3</v>
      </c>
      <c r="C104">
        <v>-5.7880606704859158E-2</v>
      </c>
    </row>
    <row r="105" spans="1:3">
      <c r="A105">
        <v>79</v>
      </c>
      <c r="B105">
        <v>4.2254420899091587E-2</v>
      </c>
      <c r="C105">
        <v>-3.1018465842911784E-2</v>
      </c>
    </row>
    <row r="106" spans="1:3">
      <c r="A106">
        <v>80</v>
      </c>
      <c r="B106">
        <v>5.8831644283296236E-2</v>
      </c>
      <c r="C106">
        <v>8.4378232259913699E-2</v>
      </c>
    </row>
    <row r="107" spans="1:3">
      <c r="A107">
        <v>81</v>
      </c>
      <c r="B107">
        <v>8.3560472094586277E-3</v>
      </c>
      <c r="C107">
        <v>2.8326164583299986E-4</v>
      </c>
    </row>
    <row r="108" spans="1:3">
      <c r="A108">
        <v>82</v>
      </c>
      <c r="B108">
        <v>3.8443825801823352E-2</v>
      </c>
      <c r="C108">
        <v>-8.4482369699039633E-2</v>
      </c>
    </row>
    <row r="109" spans="1:3" ht="14" thickBot="1">
      <c r="A109" s="80">
        <v>83</v>
      </c>
      <c r="B109" s="80">
        <v>2.140001833384789E-2</v>
      </c>
      <c r="C109" s="80">
        <v>1.0025346424850281E-2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6D5F-17A7-E748-B23C-4F888CC5E475}">
  <dimension ref="A1:I108"/>
  <sheetViews>
    <sheetView zoomScale="150" workbookViewId="0">
      <selection activeCell="I28" sqref="I28"/>
    </sheetView>
  </sheetViews>
  <sheetFormatPr baseColWidth="10" defaultRowHeight="13"/>
  <cols>
    <col min="1" max="1" width="17.1640625" bestFit="1" customWidth="1"/>
    <col min="2" max="2" width="16.6640625" customWidth="1"/>
  </cols>
  <sheetData>
    <row r="1" spans="1:9">
      <c r="A1" t="s">
        <v>725</v>
      </c>
    </row>
    <row r="2" spans="1:9" ht="14" thickBot="1"/>
    <row r="3" spans="1:9">
      <c r="A3" s="109" t="s">
        <v>726</v>
      </c>
      <c r="B3" s="109"/>
    </row>
    <row r="4" spans="1:9">
      <c r="A4" s="106" t="s">
        <v>727</v>
      </c>
      <c r="B4" s="106">
        <v>0.72855648647500826</v>
      </c>
    </row>
    <row r="5" spans="1:9">
      <c r="A5" s="111" t="s">
        <v>728</v>
      </c>
      <c r="B5" s="111">
        <v>0.5307945539848089</v>
      </c>
    </row>
    <row r="6" spans="1:9">
      <c r="A6" s="106" t="s">
        <v>729</v>
      </c>
      <c r="B6" s="106">
        <v>0.52507253635047735</v>
      </c>
    </row>
    <row r="7" spans="1:9">
      <c r="A7" s="106" t="s">
        <v>730</v>
      </c>
      <c r="B7" s="106">
        <v>137.91709030937318</v>
      </c>
    </row>
    <row r="8" spans="1:9" ht="14" thickBot="1">
      <c r="A8" s="107" t="s">
        <v>731</v>
      </c>
      <c r="B8" s="107">
        <v>84</v>
      </c>
    </row>
    <row r="10" spans="1:9" ht="14" thickBot="1">
      <c r="A10" t="s">
        <v>732</v>
      </c>
    </row>
    <row r="11" spans="1:9">
      <c r="A11" s="108"/>
      <c r="B11" s="108" t="s">
        <v>737</v>
      </c>
      <c r="C11" s="108" t="s">
        <v>738</v>
      </c>
      <c r="D11" s="108" t="s">
        <v>739</v>
      </c>
      <c r="E11" s="108" t="s">
        <v>740</v>
      </c>
      <c r="F11" s="108" t="s">
        <v>741</v>
      </c>
    </row>
    <row r="12" spans="1:9">
      <c r="A12" s="106" t="s">
        <v>733</v>
      </c>
      <c r="B12" s="106">
        <v>1</v>
      </c>
      <c r="C12" s="106">
        <v>1764466.5865441258</v>
      </c>
      <c r="D12" s="106">
        <v>1764466.5865441258</v>
      </c>
      <c r="E12" s="106">
        <v>92.763529912960863</v>
      </c>
      <c r="F12" s="106">
        <v>4.0056399290842194E-15</v>
      </c>
    </row>
    <row r="13" spans="1:9">
      <c r="A13" s="106" t="s">
        <v>734</v>
      </c>
      <c r="B13" s="106">
        <v>82</v>
      </c>
      <c r="C13" s="106">
        <v>1559732.1515511111</v>
      </c>
      <c r="D13" s="106">
        <v>19021.123799403795</v>
      </c>
      <c r="E13" s="106"/>
      <c r="F13" s="106"/>
    </row>
    <row r="14" spans="1:9" ht="14" thickBot="1">
      <c r="A14" s="107" t="s">
        <v>735</v>
      </c>
      <c r="B14" s="107">
        <v>83</v>
      </c>
      <c r="C14" s="107">
        <v>3324198.7380952369</v>
      </c>
      <c r="D14" s="107"/>
      <c r="E14" s="107"/>
      <c r="F14" s="107"/>
    </row>
    <row r="15" spans="1:9" ht="14" thickBot="1"/>
    <row r="16" spans="1:9">
      <c r="A16" s="108"/>
      <c r="B16" s="108" t="s">
        <v>742</v>
      </c>
      <c r="C16" s="108" t="s">
        <v>730</v>
      </c>
      <c r="D16" s="108" t="s">
        <v>743</v>
      </c>
      <c r="E16" s="110" t="s">
        <v>744</v>
      </c>
      <c r="F16" s="108" t="s">
        <v>745</v>
      </c>
      <c r="G16" s="108" t="s">
        <v>746</v>
      </c>
      <c r="H16" s="108" t="s">
        <v>747</v>
      </c>
      <c r="I16" s="108" t="s">
        <v>748</v>
      </c>
    </row>
    <row r="17" spans="1:9">
      <c r="A17" s="106" t="s">
        <v>736</v>
      </c>
      <c r="B17" s="106">
        <v>524.7238755364599</v>
      </c>
      <c r="C17" s="106">
        <v>22.727031577421609</v>
      </c>
      <c r="D17" s="106">
        <v>23.088095501999124</v>
      </c>
      <c r="E17" s="111">
        <v>1.2437543878042374E-37</v>
      </c>
      <c r="F17" s="106">
        <v>479.51256987086629</v>
      </c>
      <c r="G17" s="106">
        <v>569.93518120205351</v>
      </c>
      <c r="H17" s="106">
        <v>479.51256987086629</v>
      </c>
      <c r="I17" s="106">
        <v>569.93518120205351</v>
      </c>
    </row>
    <row r="18" spans="1:9" ht="14" thickBot="1">
      <c r="A18" s="107">
        <v>0.75</v>
      </c>
      <c r="B18" s="107">
        <v>68.947683036964577</v>
      </c>
      <c r="C18" s="107">
        <v>7.1586485788656766</v>
      </c>
      <c r="D18" s="107">
        <v>9.6313825545951968</v>
      </c>
      <c r="E18" s="112">
        <v>4.0056399290843922E-15</v>
      </c>
      <c r="F18" s="107">
        <v>54.706850575007749</v>
      </c>
      <c r="G18" s="107">
        <v>83.188515498921404</v>
      </c>
      <c r="H18" s="107">
        <v>54.706850575007749</v>
      </c>
      <c r="I18" s="107">
        <v>83.188515498921404</v>
      </c>
    </row>
    <row r="22" spans="1:9">
      <c r="A22" t="s">
        <v>749</v>
      </c>
    </row>
    <row r="23" spans="1:9" ht="14" thickBot="1"/>
    <row r="24" spans="1:9">
      <c r="A24" s="108" t="s">
        <v>750</v>
      </c>
      <c r="B24" s="108" t="s">
        <v>788</v>
      </c>
      <c r="C24" s="108" t="s">
        <v>752</v>
      </c>
    </row>
    <row r="25" spans="1:9">
      <c r="A25" s="106">
        <v>1</v>
      </c>
      <c r="B25" s="106">
        <v>576.43463781418336</v>
      </c>
      <c r="C25" s="106">
        <v>-199.43463781418336</v>
      </c>
    </row>
    <row r="26" spans="1:9">
      <c r="A26" s="106">
        <v>2</v>
      </c>
      <c r="B26" s="106">
        <v>576.43463781418336</v>
      </c>
      <c r="C26" s="106">
        <v>-174.43463781418336</v>
      </c>
    </row>
    <row r="27" spans="1:9">
      <c r="A27" s="106">
        <v>3</v>
      </c>
      <c r="B27" s="106">
        <v>576.43463781418336</v>
      </c>
      <c r="C27" s="106">
        <v>-185.93463781418336</v>
      </c>
    </row>
    <row r="28" spans="1:9">
      <c r="A28" s="106">
        <v>4</v>
      </c>
      <c r="B28" s="106">
        <v>576.43463781418336</v>
      </c>
      <c r="C28" s="106">
        <v>-146.43463781418336</v>
      </c>
    </row>
    <row r="29" spans="1:9">
      <c r="A29" s="106">
        <v>5</v>
      </c>
      <c r="B29" s="106">
        <v>576.43463781418336</v>
      </c>
      <c r="C29" s="106">
        <v>-161.43463781418336</v>
      </c>
    </row>
    <row r="30" spans="1:9">
      <c r="A30" s="106">
        <v>6</v>
      </c>
      <c r="B30" s="106">
        <v>576.43463781418336</v>
      </c>
      <c r="C30" s="106">
        <v>-176.43463781418336</v>
      </c>
    </row>
    <row r="31" spans="1:9">
      <c r="A31" s="106">
        <v>7</v>
      </c>
      <c r="B31" s="106">
        <v>576.43463781418336</v>
      </c>
      <c r="C31" s="106">
        <v>-189.93463781418336</v>
      </c>
    </row>
    <row r="32" spans="1:9">
      <c r="A32" s="106">
        <v>8</v>
      </c>
      <c r="B32" s="106">
        <v>576.43463781418336</v>
      </c>
      <c r="C32" s="106">
        <v>-191.43463781418336</v>
      </c>
    </row>
    <row r="33" spans="1:3">
      <c r="A33" s="106">
        <v>9</v>
      </c>
      <c r="B33" s="106">
        <v>576.43463781418336</v>
      </c>
      <c r="C33" s="106">
        <v>-193.43463781418336</v>
      </c>
    </row>
    <row r="34" spans="1:3">
      <c r="A34" s="106">
        <v>10</v>
      </c>
      <c r="B34" s="106">
        <v>576.43463781418336</v>
      </c>
      <c r="C34" s="106">
        <v>-186.43463781418336</v>
      </c>
    </row>
    <row r="35" spans="1:3">
      <c r="A35" s="106">
        <v>11</v>
      </c>
      <c r="B35" s="106">
        <v>576.43463781418336</v>
      </c>
      <c r="C35" s="106">
        <v>-30.434637814183361</v>
      </c>
    </row>
    <row r="36" spans="1:3">
      <c r="A36" s="106">
        <v>12</v>
      </c>
      <c r="B36" s="106">
        <v>576.43463781418336</v>
      </c>
      <c r="C36" s="106">
        <v>-76.434637814183361</v>
      </c>
    </row>
    <row r="37" spans="1:3">
      <c r="A37" s="106">
        <v>13</v>
      </c>
      <c r="B37" s="106">
        <v>576.43463781418336</v>
      </c>
      <c r="C37" s="106">
        <v>-82.434637814183361</v>
      </c>
    </row>
    <row r="38" spans="1:3">
      <c r="A38" s="106">
        <v>14</v>
      </c>
      <c r="B38" s="106">
        <v>576.43463781418336</v>
      </c>
      <c r="C38" s="106">
        <v>-200.43463781418336</v>
      </c>
    </row>
    <row r="39" spans="1:3">
      <c r="A39" s="106">
        <v>15</v>
      </c>
      <c r="B39" s="106">
        <v>531.61864384015632</v>
      </c>
      <c r="C39" s="106">
        <v>-79.618643840156324</v>
      </c>
    </row>
    <row r="40" spans="1:3">
      <c r="A40" s="106">
        <v>16</v>
      </c>
      <c r="B40" s="106">
        <v>531.61864384015632</v>
      </c>
      <c r="C40" s="106">
        <v>-68.618643840156324</v>
      </c>
    </row>
    <row r="41" spans="1:3">
      <c r="A41" s="106">
        <v>17</v>
      </c>
      <c r="B41" s="106">
        <v>531.61864384015632</v>
      </c>
      <c r="C41" s="106">
        <v>-88.618643840156324</v>
      </c>
    </row>
    <row r="42" spans="1:3">
      <c r="A42" s="106">
        <v>18</v>
      </c>
      <c r="B42" s="106">
        <v>531.61864384015632</v>
      </c>
      <c r="C42" s="106">
        <v>-95.618643840156324</v>
      </c>
    </row>
    <row r="43" spans="1:3">
      <c r="A43" s="106">
        <v>19</v>
      </c>
      <c r="B43" s="106">
        <v>531.61864384015632</v>
      </c>
      <c r="C43" s="106">
        <v>-108.61864384015632</v>
      </c>
    </row>
    <row r="44" spans="1:3">
      <c r="A44" s="106">
        <v>20</v>
      </c>
      <c r="B44" s="106">
        <v>531.61864384015632</v>
      </c>
      <c r="C44" s="106">
        <v>-76.618643840156324</v>
      </c>
    </row>
    <row r="45" spans="1:3">
      <c r="A45" s="106">
        <v>21</v>
      </c>
      <c r="B45" s="106">
        <v>531.61864384015632</v>
      </c>
      <c r="C45" s="106">
        <v>-96.618643840156324</v>
      </c>
    </row>
    <row r="46" spans="1:3">
      <c r="A46" s="106">
        <v>22</v>
      </c>
      <c r="B46" s="106">
        <v>531.61864384015632</v>
      </c>
      <c r="C46" s="106">
        <v>-36.618643840156324</v>
      </c>
    </row>
    <row r="47" spans="1:3">
      <c r="A47" s="106">
        <v>23</v>
      </c>
      <c r="B47" s="106">
        <v>531.61864384015632</v>
      </c>
      <c r="C47" s="106">
        <v>28.381356159843676</v>
      </c>
    </row>
    <row r="48" spans="1:3">
      <c r="A48" s="106">
        <v>24</v>
      </c>
      <c r="B48" s="106">
        <v>531.61864384015632</v>
      </c>
      <c r="C48" s="106">
        <v>-7.6186438401563237</v>
      </c>
    </row>
    <row r="49" spans="1:3">
      <c r="A49" s="106">
        <v>25</v>
      </c>
      <c r="B49" s="106">
        <v>531.61864384015632</v>
      </c>
      <c r="C49" s="106">
        <v>-29.618643840156324</v>
      </c>
    </row>
    <row r="50" spans="1:3">
      <c r="A50" s="106">
        <v>26</v>
      </c>
      <c r="B50" s="106">
        <v>531.61864384015632</v>
      </c>
      <c r="C50" s="106">
        <v>32.381356159843676</v>
      </c>
    </row>
    <row r="51" spans="1:3">
      <c r="A51" s="106">
        <v>27</v>
      </c>
      <c r="B51" s="106">
        <v>531.61864384015632</v>
      </c>
      <c r="C51" s="106">
        <v>93.381356159843676</v>
      </c>
    </row>
    <row r="52" spans="1:3">
      <c r="A52" s="106">
        <v>28</v>
      </c>
      <c r="B52" s="106">
        <v>531.61864384015632</v>
      </c>
      <c r="C52" s="106">
        <v>104.38135615984368</v>
      </c>
    </row>
    <row r="53" spans="1:3">
      <c r="A53" s="106">
        <v>29</v>
      </c>
      <c r="B53" s="106">
        <v>531.61864384015632</v>
      </c>
      <c r="C53" s="106">
        <v>143.38135615984368</v>
      </c>
    </row>
    <row r="54" spans="1:3">
      <c r="A54" s="106">
        <v>30</v>
      </c>
      <c r="B54" s="106">
        <v>531.61864384015632</v>
      </c>
      <c r="C54" s="106">
        <v>214.38135615984368</v>
      </c>
    </row>
    <row r="55" spans="1:3">
      <c r="A55" s="106">
        <v>31</v>
      </c>
      <c r="B55" s="106">
        <v>531.61864384015632</v>
      </c>
      <c r="C55" s="106">
        <v>235.38135615984368</v>
      </c>
    </row>
    <row r="56" spans="1:3">
      <c r="A56" s="106">
        <v>32</v>
      </c>
      <c r="B56" s="106">
        <v>531.61864384015632</v>
      </c>
      <c r="C56" s="106">
        <v>258.38135615984368</v>
      </c>
    </row>
    <row r="57" spans="1:3">
      <c r="A57" s="106">
        <v>33</v>
      </c>
      <c r="B57" s="106">
        <v>531.61864384015632</v>
      </c>
      <c r="C57" s="106">
        <v>231.38135615984368</v>
      </c>
    </row>
    <row r="58" spans="1:3">
      <c r="A58" s="106">
        <v>34</v>
      </c>
      <c r="B58" s="106">
        <v>531.61864384015632</v>
      </c>
      <c r="C58" s="106">
        <v>271.38135615984368</v>
      </c>
    </row>
    <row r="59" spans="1:3">
      <c r="A59" s="106">
        <v>35</v>
      </c>
      <c r="B59" s="106">
        <v>531.61864384015632</v>
      </c>
      <c r="C59" s="106">
        <v>303.38135615984368</v>
      </c>
    </row>
    <row r="60" spans="1:3">
      <c r="A60" s="106">
        <v>36</v>
      </c>
      <c r="B60" s="106">
        <v>541.96079629570102</v>
      </c>
      <c r="C60" s="106">
        <v>178.03920370429898</v>
      </c>
    </row>
    <row r="61" spans="1:3">
      <c r="A61" s="106">
        <v>37</v>
      </c>
      <c r="B61" s="106">
        <v>541.96079629570102</v>
      </c>
      <c r="C61" s="106">
        <v>138.03920370429898</v>
      </c>
    </row>
    <row r="62" spans="1:3">
      <c r="A62" s="106">
        <v>38</v>
      </c>
      <c r="B62" s="106">
        <v>559.19771705494213</v>
      </c>
      <c r="C62" s="106">
        <v>124.80228294505787</v>
      </c>
    </row>
    <row r="63" spans="1:3">
      <c r="A63" s="106">
        <v>39</v>
      </c>
      <c r="B63" s="106">
        <v>576.43463781418336</v>
      </c>
      <c r="C63" s="106">
        <v>122.56536218581664</v>
      </c>
    </row>
    <row r="64" spans="1:3">
      <c r="A64" s="106">
        <v>40</v>
      </c>
      <c r="B64" s="106">
        <v>576.43463781418336</v>
      </c>
      <c r="C64" s="106">
        <v>115.56536218581664</v>
      </c>
    </row>
    <row r="65" spans="1:3">
      <c r="A65" s="106">
        <v>41</v>
      </c>
      <c r="B65" s="106">
        <v>593.67155857342448</v>
      </c>
      <c r="C65" s="106">
        <v>46.328441426575523</v>
      </c>
    </row>
    <row r="66" spans="1:3">
      <c r="A66" s="106">
        <v>42</v>
      </c>
      <c r="B66" s="106">
        <v>610.90847933266559</v>
      </c>
      <c r="C66" s="106">
        <v>130.09152066733441</v>
      </c>
    </row>
    <row r="67" spans="1:3">
      <c r="A67" s="106">
        <v>43</v>
      </c>
      <c r="B67" s="106">
        <v>610.90847933266559</v>
      </c>
      <c r="C67" s="106">
        <v>32.091520667334407</v>
      </c>
    </row>
    <row r="68" spans="1:3">
      <c r="A68" s="106">
        <v>44</v>
      </c>
      <c r="B68" s="106">
        <v>645.38232085114794</v>
      </c>
      <c r="C68" s="106">
        <v>-75.382320851147938</v>
      </c>
    </row>
    <row r="69" spans="1:3">
      <c r="A69" s="106">
        <v>45</v>
      </c>
      <c r="B69" s="106">
        <v>679.85616236963017</v>
      </c>
      <c r="C69" s="106">
        <v>-65.856162369630169</v>
      </c>
    </row>
    <row r="70" spans="1:3">
      <c r="A70" s="106">
        <v>46</v>
      </c>
      <c r="B70" s="106">
        <v>679.85616236963017</v>
      </c>
      <c r="C70" s="106">
        <v>3.1438376303698305</v>
      </c>
    </row>
    <row r="71" spans="1:3">
      <c r="A71" s="106">
        <v>47</v>
      </c>
      <c r="B71" s="106">
        <v>731.56692464735363</v>
      </c>
      <c r="C71" s="106">
        <v>0.43307535264636954</v>
      </c>
    </row>
    <row r="72" spans="1:3">
      <c r="A72" s="106">
        <v>48</v>
      </c>
      <c r="B72" s="106">
        <v>766.04076616583598</v>
      </c>
      <c r="C72" s="106">
        <v>-34.040766165835976</v>
      </c>
    </row>
    <row r="73" spans="1:3">
      <c r="A73" s="106">
        <v>49</v>
      </c>
      <c r="B73" s="106">
        <v>766.04076616583598</v>
      </c>
      <c r="C73" s="106">
        <v>-53.040766165835976</v>
      </c>
    </row>
    <row r="74" spans="1:3">
      <c r="A74" s="106">
        <v>50</v>
      </c>
      <c r="B74" s="106">
        <v>800.51460768431821</v>
      </c>
      <c r="C74" s="106">
        <v>-124.51460768431821</v>
      </c>
    </row>
    <row r="75" spans="1:3">
      <c r="A75" s="106">
        <v>51</v>
      </c>
      <c r="B75" s="106">
        <v>817.75152844355932</v>
      </c>
      <c r="C75" s="106">
        <v>-90.751528443559323</v>
      </c>
    </row>
    <row r="76" spans="1:3">
      <c r="A76" s="106">
        <v>52</v>
      </c>
      <c r="B76" s="106">
        <v>817.75152844355932</v>
      </c>
      <c r="C76" s="106">
        <v>-102.75152844355932</v>
      </c>
    </row>
    <row r="77" spans="1:3">
      <c r="A77" s="106">
        <v>53</v>
      </c>
      <c r="B77" s="106">
        <v>834.98844920280044</v>
      </c>
      <c r="C77" s="106">
        <v>-90.988449202800439</v>
      </c>
    </row>
    <row r="78" spans="1:3">
      <c r="A78" s="106">
        <v>54</v>
      </c>
      <c r="B78" s="106">
        <v>869.46229072128278</v>
      </c>
      <c r="C78" s="106">
        <v>-139.46229072128278</v>
      </c>
    </row>
    <row r="79" spans="1:3">
      <c r="A79" s="106">
        <v>55</v>
      </c>
      <c r="B79" s="106">
        <v>869.46229072128278</v>
      </c>
      <c r="C79" s="106">
        <v>-151.46229072128278</v>
      </c>
    </row>
    <row r="80" spans="1:3">
      <c r="A80" s="106">
        <v>56</v>
      </c>
      <c r="B80" s="106">
        <v>886.6992114805239</v>
      </c>
      <c r="C80" s="106">
        <v>-173.6992114805239</v>
      </c>
    </row>
    <row r="81" spans="1:3">
      <c r="A81" s="106">
        <v>57</v>
      </c>
      <c r="B81" s="106">
        <v>886.6992114805239</v>
      </c>
      <c r="C81" s="106">
        <v>-169.6992114805239</v>
      </c>
    </row>
    <row r="82" spans="1:3">
      <c r="A82" s="106">
        <v>58</v>
      </c>
      <c r="B82" s="106">
        <v>886.6992114805239</v>
      </c>
      <c r="C82" s="106">
        <v>-44.6992114805239</v>
      </c>
    </row>
    <row r="83" spans="1:3">
      <c r="A83" s="106">
        <v>59</v>
      </c>
      <c r="B83" s="106">
        <v>886.6992114805239</v>
      </c>
      <c r="C83" s="106">
        <v>-27.6992114805239</v>
      </c>
    </row>
    <row r="84" spans="1:3">
      <c r="A84" s="106">
        <v>60</v>
      </c>
      <c r="B84" s="106">
        <v>886.6992114805239</v>
      </c>
      <c r="C84" s="106">
        <v>-6.6992114805238998</v>
      </c>
    </row>
    <row r="85" spans="1:3">
      <c r="A85" s="106">
        <v>61</v>
      </c>
      <c r="B85" s="106">
        <v>886.6992114805239</v>
      </c>
      <c r="C85" s="106">
        <v>-11.6992114805239</v>
      </c>
    </row>
    <row r="86" spans="1:3">
      <c r="A86" s="106">
        <v>62</v>
      </c>
      <c r="B86" s="106">
        <v>886.6992114805239</v>
      </c>
      <c r="C86" s="106">
        <v>37.3007885194761</v>
      </c>
    </row>
    <row r="87" spans="1:3">
      <c r="A87" s="106">
        <v>63</v>
      </c>
      <c r="B87" s="106">
        <v>886.6992114805239</v>
      </c>
      <c r="C87" s="106">
        <v>58.3007885194761</v>
      </c>
    </row>
    <row r="88" spans="1:3">
      <c r="A88" s="106">
        <v>64</v>
      </c>
      <c r="B88" s="106">
        <v>886.6992114805239</v>
      </c>
      <c r="C88" s="106">
        <v>181.3007885194761</v>
      </c>
    </row>
    <row r="89" spans="1:3">
      <c r="A89" s="106">
        <v>65</v>
      </c>
      <c r="B89" s="106">
        <v>886.6992114805239</v>
      </c>
      <c r="C89" s="106">
        <v>175.3007885194761</v>
      </c>
    </row>
    <row r="90" spans="1:3">
      <c r="A90" s="106">
        <v>66</v>
      </c>
      <c r="B90" s="106">
        <v>886.6992114805239</v>
      </c>
      <c r="C90" s="106">
        <v>199.3007885194761</v>
      </c>
    </row>
    <row r="91" spans="1:3">
      <c r="A91" s="106">
        <v>67</v>
      </c>
      <c r="B91" s="106">
        <v>869.46229072128278</v>
      </c>
      <c r="C91" s="106">
        <v>202.53770927871722</v>
      </c>
    </row>
    <row r="92" spans="1:3">
      <c r="A92" s="106">
        <v>68</v>
      </c>
      <c r="B92" s="106">
        <v>869.46229072128278</v>
      </c>
      <c r="C92" s="106">
        <v>182.53770927871722</v>
      </c>
    </row>
    <row r="93" spans="1:3">
      <c r="A93" s="106">
        <v>69</v>
      </c>
      <c r="B93" s="106">
        <v>869.46229072128278</v>
      </c>
      <c r="C93" s="106">
        <v>224.53770927871722</v>
      </c>
    </row>
    <row r="94" spans="1:3">
      <c r="A94" s="106">
        <v>70</v>
      </c>
      <c r="B94" s="106">
        <v>869.46229072128278</v>
      </c>
      <c r="C94" s="106">
        <v>170.53770927871722</v>
      </c>
    </row>
    <row r="95" spans="1:3">
      <c r="A95" s="106">
        <v>71</v>
      </c>
      <c r="B95" s="106">
        <v>852.22536996204167</v>
      </c>
      <c r="C95" s="106">
        <v>52.774630037958332</v>
      </c>
    </row>
    <row r="96" spans="1:3">
      <c r="A96" s="106">
        <v>72</v>
      </c>
      <c r="B96" s="106">
        <v>852.22536996204167</v>
      </c>
      <c r="C96" s="106">
        <v>-120.22536996204167</v>
      </c>
    </row>
    <row r="97" spans="1:3">
      <c r="A97" s="106">
        <v>73</v>
      </c>
      <c r="B97" s="106">
        <v>852.22536996204167</v>
      </c>
      <c r="C97" s="106">
        <v>-193.22536996204167</v>
      </c>
    </row>
    <row r="98" spans="1:3">
      <c r="A98" s="106">
        <v>74</v>
      </c>
      <c r="B98" s="106">
        <v>834.98844920280044</v>
      </c>
      <c r="C98" s="106">
        <v>-172.98844920280044</v>
      </c>
    </row>
    <row r="99" spans="1:3">
      <c r="A99" s="106">
        <v>75</v>
      </c>
      <c r="B99" s="106">
        <v>834.98844920280044</v>
      </c>
      <c r="C99" s="106">
        <v>-79.988449202800439</v>
      </c>
    </row>
    <row r="100" spans="1:3">
      <c r="A100" s="106">
        <v>76</v>
      </c>
      <c r="B100" s="106">
        <v>834.98844920280044</v>
      </c>
      <c r="C100" s="106">
        <v>-14.988449202800439</v>
      </c>
    </row>
    <row r="101" spans="1:3">
      <c r="A101" s="106">
        <v>77</v>
      </c>
      <c r="B101" s="106">
        <v>817.75152844355932</v>
      </c>
      <c r="C101" s="106">
        <v>32.248471556440677</v>
      </c>
    </row>
    <row r="102" spans="1:3">
      <c r="A102" s="106">
        <v>78</v>
      </c>
      <c r="B102" s="106">
        <v>817.75152844355932</v>
      </c>
      <c r="C102" s="106">
        <v>25.248471556440677</v>
      </c>
    </row>
    <row r="103" spans="1:3">
      <c r="A103" s="106">
        <v>79</v>
      </c>
      <c r="B103" s="106">
        <v>817.75152844355932</v>
      </c>
      <c r="C103" s="106">
        <v>-16.751528443559323</v>
      </c>
    </row>
    <row r="104" spans="1:3">
      <c r="A104" s="106">
        <v>80</v>
      </c>
      <c r="B104" s="106">
        <v>800.51460768431821</v>
      </c>
      <c r="C104" s="106">
        <v>9.4853923156817928</v>
      </c>
    </row>
    <row r="105" spans="1:3">
      <c r="A105" s="106">
        <v>81</v>
      </c>
      <c r="B105" s="106">
        <v>800.51460768431821</v>
      </c>
      <c r="C105" s="106">
        <v>125.48539231568179</v>
      </c>
    </row>
    <row r="106" spans="1:3">
      <c r="A106" s="106">
        <v>82</v>
      </c>
      <c r="B106" s="106">
        <v>800.51460768431821</v>
      </c>
      <c r="C106" s="106">
        <v>133.48539231568179</v>
      </c>
    </row>
    <row r="107" spans="1:3">
      <c r="A107" s="106">
        <v>83</v>
      </c>
      <c r="B107" s="106">
        <v>800.51460768431821</v>
      </c>
      <c r="C107" s="106">
        <v>90.485392315681793</v>
      </c>
    </row>
    <row r="108" spans="1:3" ht="14" thickBot="1">
      <c r="A108" s="107">
        <v>84</v>
      </c>
      <c r="B108" s="107">
        <v>783.27768692507709</v>
      </c>
      <c r="C108" s="107">
        <v>135.72231307492291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36A4-49FE-B349-A141-E471E7E12B45}">
  <dimension ref="A1:AG95"/>
  <sheetViews>
    <sheetView tabSelected="1" topLeftCell="F1" zoomScaleNormal="179" workbookViewId="0">
      <selection activeCell="S5" sqref="S5"/>
    </sheetView>
  </sheetViews>
  <sheetFormatPr baseColWidth="10" defaultRowHeight="13"/>
  <cols>
    <col min="1" max="1" width="4.83203125" bestFit="1" customWidth="1"/>
    <col min="18" max="18" width="25" customWidth="1"/>
    <col min="19" max="19" width="11.83203125" customWidth="1"/>
    <col min="21" max="21" width="31.5" customWidth="1"/>
    <col min="24" max="24" width="11.5" customWidth="1"/>
  </cols>
  <sheetData>
    <row r="1" spans="1:33">
      <c r="A1" s="32" t="s">
        <v>114</v>
      </c>
    </row>
    <row r="2" spans="1:33" s="5" customFormat="1">
      <c r="A2" s="67"/>
      <c r="B2" s="91" t="s">
        <v>345</v>
      </c>
      <c r="C2" s="91"/>
      <c r="D2" s="91"/>
      <c r="E2" s="91"/>
      <c r="F2" s="91"/>
      <c r="G2" s="91"/>
      <c r="H2" s="91"/>
      <c r="J2" s="91" t="s">
        <v>340</v>
      </c>
      <c r="K2" s="91"/>
      <c r="L2" s="91"/>
      <c r="M2" s="91"/>
      <c r="N2" s="91"/>
      <c r="O2" s="91"/>
      <c r="P2" s="91"/>
    </row>
    <row r="3" spans="1:33" s="5" customFormat="1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J3" s="5" t="s">
        <v>0</v>
      </c>
      <c r="K3" s="5" t="s">
        <v>1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R3" s="6" t="s">
        <v>64</v>
      </c>
      <c r="S3" s="113">
        <f>AVERAGE(C4:C88)</f>
        <v>685</v>
      </c>
      <c r="U3" s="11" t="s">
        <v>777</v>
      </c>
      <c r="V3" s="7">
        <f>_xlfn.STDEV.S(C4:C88)</f>
        <v>201.93243507008313</v>
      </c>
      <c r="X3" s="6" t="s">
        <v>765</v>
      </c>
      <c r="Y3" s="100">
        <f>MIN(H4:H88)</f>
        <v>-0.2389</v>
      </c>
    </row>
    <row r="4" spans="1:33">
      <c r="A4" s="17"/>
      <c r="B4" s="1">
        <v>46023</v>
      </c>
      <c r="C4">
        <v>919</v>
      </c>
      <c r="D4">
        <v>891</v>
      </c>
      <c r="E4">
        <v>933</v>
      </c>
      <c r="F4">
        <v>874.5</v>
      </c>
      <c r="G4" t="s">
        <v>7</v>
      </c>
      <c r="H4" s="2">
        <v>3.1399999999999997E-2</v>
      </c>
      <c r="J4" s="1">
        <v>46023</v>
      </c>
      <c r="K4" s="3">
        <v>10223.540000000001</v>
      </c>
      <c r="L4" s="3">
        <v>9931.2900000000009</v>
      </c>
      <c r="M4" s="3">
        <v>10277.719999999999</v>
      </c>
      <c r="N4" s="3">
        <v>9930.76</v>
      </c>
      <c r="O4" t="s">
        <v>256</v>
      </c>
      <c r="P4" s="2">
        <v>2.9399999999999999E-2</v>
      </c>
      <c r="R4" s="8" t="s">
        <v>783</v>
      </c>
      <c r="S4" s="114">
        <f>MEDIAN(C4:C88)</f>
        <v>713</v>
      </c>
      <c r="U4" s="14" t="s">
        <v>778</v>
      </c>
      <c r="V4" s="18">
        <f>_xlfn.VAR.S(C4:C88)</f>
        <v>40776.708333333336</v>
      </c>
      <c r="X4" s="8" t="s">
        <v>766</v>
      </c>
      <c r="Y4" s="13">
        <f>MAX(H4:H88)</f>
        <v>0.4</v>
      </c>
    </row>
    <row r="5" spans="1:33">
      <c r="A5" s="17"/>
      <c r="B5" s="1">
        <v>45992</v>
      </c>
      <c r="C5">
        <v>891</v>
      </c>
      <c r="D5">
        <v>947</v>
      </c>
      <c r="E5">
        <v>947</v>
      </c>
      <c r="F5">
        <v>870</v>
      </c>
      <c r="G5" t="s">
        <v>8</v>
      </c>
      <c r="H5" s="2">
        <v>-4.5999999999999999E-2</v>
      </c>
      <c r="J5" s="1">
        <v>45992</v>
      </c>
      <c r="K5" s="3">
        <v>9931.3799999999992</v>
      </c>
      <c r="L5" s="3">
        <v>9720.5499999999993</v>
      </c>
      <c r="M5" s="3">
        <v>9954.32</v>
      </c>
      <c r="N5" s="3">
        <v>9622.74</v>
      </c>
      <c r="O5" t="s">
        <v>257</v>
      </c>
      <c r="P5" s="2">
        <v>2.1700000000000001E-2</v>
      </c>
      <c r="R5" s="10" t="s">
        <v>65</v>
      </c>
      <c r="S5" s="115">
        <f>MODE(C4:C88)</f>
        <v>732</v>
      </c>
      <c r="X5" s="8"/>
      <c r="Y5" s="9"/>
    </row>
    <row r="6" spans="1:33">
      <c r="A6" s="17"/>
      <c r="B6" s="1">
        <v>45962</v>
      </c>
      <c r="C6">
        <v>934</v>
      </c>
      <c r="D6">
        <v>928</v>
      </c>
      <c r="E6">
        <v>978</v>
      </c>
      <c r="F6">
        <v>884</v>
      </c>
      <c r="G6" t="s">
        <v>9</v>
      </c>
      <c r="H6" s="2">
        <v>8.6E-3</v>
      </c>
      <c r="J6" s="1">
        <v>45962</v>
      </c>
      <c r="K6" s="3">
        <v>9720.51</v>
      </c>
      <c r="L6" s="3">
        <v>9717.26</v>
      </c>
      <c r="M6" s="3">
        <v>9930.09</v>
      </c>
      <c r="N6" s="3">
        <v>9423.9</v>
      </c>
      <c r="O6" t="s">
        <v>258</v>
      </c>
      <c r="P6" s="2">
        <v>2.9999999999999997E-4</v>
      </c>
      <c r="U6" s="11" t="s">
        <v>772</v>
      </c>
      <c r="V6" s="15">
        <f>_xlfn.STDEV.S(H4:H88)</f>
        <v>8.9248195660032406E-2</v>
      </c>
      <c r="X6" s="10" t="s">
        <v>767</v>
      </c>
      <c r="Y6" s="4">
        <f>COUNT(H4:H88)</f>
        <v>85</v>
      </c>
    </row>
    <row r="7" spans="1:33">
      <c r="A7" s="17"/>
      <c r="B7" s="1">
        <v>45931</v>
      </c>
      <c r="C7">
        <v>926</v>
      </c>
      <c r="D7">
        <v>827</v>
      </c>
      <c r="E7">
        <v>973</v>
      </c>
      <c r="F7">
        <v>825</v>
      </c>
      <c r="G7" t="s">
        <v>10</v>
      </c>
      <c r="H7" s="2">
        <v>0.14319999999999999</v>
      </c>
      <c r="J7" s="1">
        <v>45931</v>
      </c>
      <c r="K7" s="3">
        <v>9717.25</v>
      </c>
      <c r="L7" s="3">
        <v>9350.4599999999991</v>
      </c>
      <c r="M7" s="3">
        <v>9787.6299999999992</v>
      </c>
      <c r="N7" s="3">
        <v>9276.91</v>
      </c>
      <c r="O7" t="s">
        <v>259</v>
      </c>
      <c r="P7" s="2">
        <v>3.9199999999999999E-2</v>
      </c>
      <c r="R7" s="11" t="s">
        <v>780</v>
      </c>
      <c r="S7" s="15">
        <f>AVERAGE(H4:H88)</f>
        <v>1.5579999999999995E-2</v>
      </c>
      <c r="U7" s="14" t="s">
        <v>773</v>
      </c>
      <c r="V7" s="16">
        <f>_xlfn.VAR.S(H4:H88)</f>
        <v>7.9652404285714268E-3</v>
      </c>
    </row>
    <row r="8" spans="1:33">
      <c r="A8" s="17"/>
      <c r="B8" s="1">
        <v>45901</v>
      </c>
      <c r="C8">
        <v>810</v>
      </c>
      <c r="D8">
        <v>808</v>
      </c>
      <c r="E8">
        <v>846</v>
      </c>
      <c r="F8">
        <v>772</v>
      </c>
      <c r="G8" t="s">
        <v>11</v>
      </c>
      <c r="H8" s="2">
        <v>1.12E-2</v>
      </c>
      <c r="J8" s="1">
        <v>45901</v>
      </c>
      <c r="K8" s="3">
        <v>9350.43</v>
      </c>
      <c r="L8" s="3">
        <v>9187.34</v>
      </c>
      <c r="M8" s="3">
        <v>9363.57</v>
      </c>
      <c r="N8" s="3">
        <v>9107.4</v>
      </c>
      <c r="O8" t="s">
        <v>260</v>
      </c>
      <c r="P8" s="2">
        <v>1.78E-2</v>
      </c>
      <c r="R8" s="104" t="s">
        <v>782</v>
      </c>
      <c r="S8" s="16">
        <f>AVERAGE(P4:P88)</f>
        <v>5.5882352941176439E-3</v>
      </c>
    </row>
    <row r="9" spans="1:33">
      <c r="A9" s="17"/>
      <c r="B9" s="1">
        <v>45870</v>
      </c>
      <c r="C9">
        <v>801</v>
      </c>
      <c r="D9">
        <v>839</v>
      </c>
      <c r="E9">
        <v>875</v>
      </c>
      <c r="F9">
        <v>801</v>
      </c>
      <c r="G9" t="s">
        <v>12</v>
      </c>
      <c r="H9" s="2">
        <v>-4.9799999999999997E-2</v>
      </c>
      <c r="J9" s="1">
        <v>45870</v>
      </c>
      <c r="K9" s="3">
        <v>9187.34</v>
      </c>
      <c r="L9" s="3">
        <v>9132.81</v>
      </c>
      <c r="M9" s="3">
        <v>9357.51</v>
      </c>
      <c r="N9" s="3">
        <v>9027.94</v>
      </c>
      <c r="O9" t="s">
        <v>261</v>
      </c>
      <c r="P9" s="2">
        <v>6.0000000000000001E-3</v>
      </c>
      <c r="R9" s="103"/>
      <c r="S9" s="102"/>
      <c r="U9" s="11" t="s">
        <v>774</v>
      </c>
      <c r="V9" s="15">
        <f>_xlfn.STDEV.S(P4:P88)</f>
        <v>3.6032427233325962E-2</v>
      </c>
    </row>
    <row r="10" spans="1:33">
      <c r="A10" s="17"/>
      <c r="B10" s="1">
        <v>45839</v>
      </c>
      <c r="C10">
        <v>843</v>
      </c>
      <c r="D10">
        <v>817</v>
      </c>
      <c r="E10">
        <v>867</v>
      </c>
      <c r="F10">
        <v>790</v>
      </c>
      <c r="G10" t="s">
        <v>13</v>
      </c>
      <c r="H10" s="2">
        <v>-8.2000000000000007E-3</v>
      </c>
      <c r="J10" s="1">
        <v>45839</v>
      </c>
      <c r="K10" s="3">
        <v>9132.81</v>
      </c>
      <c r="L10" s="3">
        <v>8760.9599999999991</v>
      </c>
      <c r="M10" s="3">
        <v>9190.73</v>
      </c>
      <c r="N10" s="3">
        <v>8726.92</v>
      </c>
      <c r="O10" t="s">
        <v>262</v>
      </c>
      <c r="P10" s="2">
        <v>4.24E-2</v>
      </c>
      <c r="R10" s="11" t="s">
        <v>784</v>
      </c>
      <c r="S10" s="15">
        <f>MEDIAN(H4:H88)</f>
        <v>5.8999999999999999E-3</v>
      </c>
      <c r="T10" s="2">
        <f>MEDIAN(P4:P88)</f>
        <v>1.1900000000000001E-2</v>
      </c>
      <c r="U10" s="14" t="s">
        <v>775</v>
      </c>
      <c r="V10" s="16">
        <f>_xlfn.VAR.S(P4:P88)</f>
        <v>1.2983358123249303E-3</v>
      </c>
    </row>
    <row r="11" spans="1:33">
      <c r="A11" s="17"/>
      <c r="B11" s="1">
        <v>45809</v>
      </c>
      <c r="C11">
        <v>850</v>
      </c>
      <c r="D11">
        <v>843</v>
      </c>
      <c r="E11">
        <v>867</v>
      </c>
      <c r="F11">
        <v>787</v>
      </c>
      <c r="G11" t="s">
        <v>14</v>
      </c>
      <c r="H11" s="2">
        <v>3.6600000000000001E-2</v>
      </c>
      <c r="J11" s="1">
        <v>45809</v>
      </c>
      <c r="K11" s="3">
        <v>8760.9599999999991</v>
      </c>
      <c r="L11" s="3">
        <v>8772.3799999999992</v>
      </c>
      <c r="M11" s="3">
        <v>8902.4</v>
      </c>
      <c r="N11" s="3">
        <v>8707.65</v>
      </c>
      <c r="O11" t="s">
        <v>263</v>
      </c>
      <c r="P11" s="2">
        <v>-1.2999999999999999E-3</v>
      </c>
      <c r="R11" s="14" t="s">
        <v>781</v>
      </c>
      <c r="S11" s="16">
        <f>MODE(H4:H88)</f>
        <v>3.9899999999999998E-2</v>
      </c>
    </row>
    <row r="12" spans="1:33">
      <c r="A12" s="17"/>
      <c r="B12" s="1">
        <v>45778</v>
      </c>
      <c r="C12">
        <v>820</v>
      </c>
      <c r="D12">
        <v>713</v>
      </c>
      <c r="E12">
        <v>859</v>
      </c>
      <c r="F12">
        <v>713</v>
      </c>
      <c r="G12" t="s">
        <v>15</v>
      </c>
      <c r="H12" s="2">
        <v>8.6099999999999996E-2</v>
      </c>
      <c r="J12" s="1">
        <v>45778</v>
      </c>
      <c r="K12" s="3">
        <v>8772.3799999999992</v>
      </c>
      <c r="L12" s="3">
        <v>8494.85</v>
      </c>
      <c r="M12" s="3">
        <v>8824</v>
      </c>
      <c r="N12" s="3">
        <v>8468.26</v>
      </c>
      <c r="O12" t="s">
        <v>264</v>
      </c>
      <c r="P12" s="2">
        <v>3.27E-2</v>
      </c>
      <c r="W12" s="5"/>
      <c r="X12" s="5"/>
      <c r="Y12" s="5"/>
      <c r="Z12" s="5"/>
      <c r="AG12" s="5" t="s">
        <v>66</v>
      </c>
    </row>
    <row r="13" spans="1:33">
      <c r="A13" s="17"/>
      <c r="B13" s="1">
        <v>45748</v>
      </c>
      <c r="C13">
        <v>755</v>
      </c>
      <c r="D13">
        <v>671</v>
      </c>
      <c r="E13">
        <v>764</v>
      </c>
      <c r="F13">
        <v>604</v>
      </c>
      <c r="G13" t="s">
        <v>16</v>
      </c>
      <c r="H13" s="2">
        <v>0.14050000000000001</v>
      </c>
      <c r="J13" s="1">
        <v>45748</v>
      </c>
      <c r="K13" s="3">
        <v>8494.85</v>
      </c>
      <c r="L13" s="3">
        <v>8582.81</v>
      </c>
      <c r="M13" s="3">
        <v>8671.91</v>
      </c>
      <c r="N13" s="3">
        <v>7544.83</v>
      </c>
      <c r="O13" t="s">
        <v>265</v>
      </c>
      <c r="P13" s="2">
        <v>-1.0200000000000001E-2</v>
      </c>
      <c r="R13" s="50" t="s">
        <v>786</v>
      </c>
      <c r="S13" s="99">
        <f>(1+S7)^12-1</f>
        <v>0.2038425120002183</v>
      </c>
    </row>
    <row r="14" spans="1:33">
      <c r="A14" s="17"/>
      <c r="B14" s="1">
        <v>45717</v>
      </c>
      <c r="C14">
        <v>662</v>
      </c>
      <c r="D14">
        <v>657</v>
      </c>
      <c r="E14">
        <v>700</v>
      </c>
      <c r="F14">
        <v>631</v>
      </c>
      <c r="G14" t="s">
        <v>17</v>
      </c>
      <c r="H14" s="2">
        <v>4.5999999999999999E-3</v>
      </c>
      <c r="J14" s="1">
        <v>45717</v>
      </c>
      <c r="K14" s="3">
        <v>8582.81</v>
      </c>
      <c r="L14" s="3">
        <v>8809.74</v>
      </c>
      <c r="M14" s="3">
        <v>8908.82</v>
      </c>
      <c r="N14" s="3">
        <v>8481.11</v>
      </c>
      <c r="O14" t="s">
        <v>266</v>
      </c>
      <c r="P14" s="2">
        <v>-2.58E-2</v>
      </c>
      <c r="R14" s="97" t="s">
        <v>787</v>
      </c>
      <c r="S14" s="105">
        <f>(1+S8)^12-1</f>
        <v>6.9158775797845795E-2</v>
      </c>
    </row>
    <row r="15" spans="1:33">
      <c r="A15" s="17"/>
      <c r="B15" s="1">
        <v>45689</v>
      </c>
      <c r="C15">
        <v>659</v>
      </c>
      <c r="D15">
        <v>740</v>
      </c>
      <c r="E15">
        <v>754</v>
      </c>
      <c r="F15">
        <v>654</v>
      </c>
      <c r="G15" t="s">
        <v>18</v>
      </c>
      <c r="H15" s="2">
        <v>-9.9699999999999997E-2</v>
      </c>
      <c r="J15" s="1">
        <v>45689</v>
      </c>
      <c r="K15" s="3">
        <v>8809.74</v>
      </c>
      <c r="L15" s="3">
        <v>8673.9599999999991</v>
      </c>
      <c r="M15" s="3">
        <v>8820.93</v>
      </c>
      <c r="N15" s="3">
        <v>8520.2000000000007</v>
      </c>
      <c r="O15" t="s">
        <v>267</v>
      </c>
      <c r="P15" s="2">
        <v>1.5699999999999999E-2</v>
      </c>
      <c r="R15" s="98" t="s">
        <v>776</v>
      </c>
      <c r="S15" s="101">
        <f>V6/V9</f>
        <v>2.4768854754666045</v>
      </c>
    </row>
    <row r="16" spans="1:33">
      <c r="A16" s="17"/>
      <c r="B16" s="1">
        <v>45658</v>
      </c>
      <c r="C16">
        <v>732</v>
      </c>
      <c r="D16">
        <v>910</v>
      </c>
      <c r="E16">
        <v>941</v>
      </c>
      <c r="F16">
        <v>690</v>
      </c>
      <c r="G16" t="s">
        <v>19</v>
      </c>
      <c r="H16" s="2">
        <v>-0.19120000000000001</v>
      </c>
      <c r="I16" s="2"/>
      <c r="J16" s="1">
        <v>45658</v>
      </c>
      <c r="K16" s="3">
        <v>8673.9599999999991</v>
      </c>
      <c r="L16" s="3">
        <v>8173.02</v>
      </c>
      <c r="M16" s="3">
        <v>8692.84</v>
      </c>
      <c r="N16" s="3">
        <v>8160.6</v>
      </c>
      <c r="O16" t="s">
        <v>268</v>
      </c>
      <c r="P16" s="2">
        <v>6.13E-2</v>
      </c>
      <c r="Q16" s="2"/>
      <c r="S16" s="5"/>
    </row>
    <row r="17" spans="1:18">
      <c r="A17" s="17"/>
      <c r="B17" s="1">
        <v>45627</v>
      </c>
      <c r="C17">
        <v>905</v>
      </c>
      <c r="D17" s="3">
        <v>1050</v>
      </c>
      <c r="E17" s="3">
        <v>1070</v>
      </c>
      <c r="F17">
        <v>863</v>
      </c>
      <c r="G17" t="s">
        <v>20</v>
      </c>
      <c r="H17" s="2">
        <v>-0.1298</v>
      </c>
      <c r="J17" s="1">
        <v>45627</v>
      </c>
      <c r="K17" s="3">
        <v>8173.02</v>
      </c>
      <c r="L17" s="3">
        <v>8287.2999999999993</v>
      </c>
      <c r="M17" s="3">
        <v>8388.3700000000008</v>
      </c>
      <c r="N17" s="3">
        <v>8002.34</v>
      </c>
      <c r="O17" t="s">
        <v>269</v>
      </c>
      <c r="P17" s="2">
        <v>-1.38E-2</v>
      </c>
      <c r="R17" t="s">
        <v>769</v>
      </c>
    </row>
    <row r="18" spans="1:18">
      <c r="A18" s="17"/>
      <c r="B18" s="1">
        <v>45597</v>
      </c>
      <c r="C18" s="3">
        <v>1040</v>
      </c>
      <c r="D18" s="3">
        <v>1084</v>
      </c>
      <c r="E18" s="3">
        <v>1100</v>
      </c>
      <c r="F18" s="3">
        <v>1016</v>
      </c>
      <c r="G18" t="s">
        <v>21</v>
      </c>
      <c r="H18" s="2">
        <v>-4.9399999999999999E-2</v>
      </c>
      <c r="J18" s="1">
        <v>45597</v>
      </c>
      <c r="K18" s="3">
        <v>8287.2999999999993</v>
      </c>
      <c r="L18" s="3">
        <v>8110.1</v>
      </c>
      <c r="M18" s="3">
        <v>8307.27</v>
      </c>
      <c r="N18" s="3">
        <v>7995.87</v>
      </c>
      <c r="O18" t="s">
        <v>270</v>
      </c>
      <c r="P18" s="2">
        <v>2.18E-2</v>
      </c>
      <c r="R18" t="s">
        <v>770</v>
      </c>
    </row>
    <row r="19" spans="1:18">
      <c r="A19" s="17"/>
      <c r="B19" s="1">
        <v>45566</v>
      </c>
      <c r="C19" s="3">
        <v>1094</v>
      </c>
      <c r="D19" s="3">
        <v>1098</v>
      </c>
      <c r="E19" s="3">
        <v>1152</v>
      </c>
      <c r="F19" s="3">
        <v>1030</v>
      </c>
      <c r="G19" t="s">
        <v>22</v>
      </c>
      <c r="H19" s="2">
        <v>3.9899999999999998E-2</v>
      </c>
      <c r="J19" s="1">
        <v>45566</v>
      </c>
      <c r="K19" s="3">
        <v>8110.1</v>
      </c>
      <c r="L19" s="3">
        <v>8236.9500000000007</v>
      </c>
      <c r="M19" s="3">
        <v>8395.58</v>
      </c>
      <c r="N19" s="3">
        <v>8071.72</v>
      </c>
      <c r="O19" t="s">
        <v>271</v>
      </c>
      <c r="P19" s="2">
        <v>-1.54E-2</v>
      </c>
      <c r="R19" s="34" t="s">
        <v>771</v>
      </c>
    </row>
    <row r="20" spans="1:18">
      <c r="A20" s="17"/>
      <c r="B20" s="1">
        <v>45536</v>
      </c>
      <c r="C20" s="3">
        <v>1052</v>
      </c>
      <c r="D20" s="3">
        <v>1080</v>
      </c>
      <c r="E20" s="3">
        <v>1110</v>
      </c>
      <c r="F20" s="3">
        <v>1022</v>
      </c>
      <c r="G20" t="s">
        <v>23</v>
      </c>
      <c r="H20" s="2">
        <v>-1.8700000000000001E-2</v>
      </c>
      <c r="J20" s="1">
        <v>45536</v>
      </c>
      <c r="K20" s="3">
        <v>8236.9500000000007</v>
      </c>
      <c r="L20" s="3">
        <v>8376.6299999999992</v>
      </c>
      <c r="M20" s="3">
        <v>8380.98</v>
      </c>
      <c r="N20" s="3">
        <v>8168.42</v>
      </c>
      <c r="O20" t="s">
        <v>272</v>
      </c>
      <c r="P20" s="2">
        <v>-1.67E-2</v>
      </c>
      <c r="R20" s="34" t="s">
        <v>779</v>
      </c>
    </row>
    <row r="21" spans="1:18">
      <c r="A21" s="17"/>
      <c r="B21" s="1">
        <v>45505</v>
      </c>
      <c r="C21" s="3">
        <v>1072</v>
      </c>
      <c r="D21" s="3">
        <v>1098</v>
      </c>
      <c r="E21" s="3">
        <v>1104</v>
      </c>
      <c r="F21">
        <v>985</v>
      </c>
      <c r="G21" t="s">
        <v>24</v>
      </c>
      <c r="H21" s="2">
        <v>-1.29E-2</v>
      </c>
      <c r="J21" s="1">
        <v>45505</v>
      </c>
      <c r="K21" s="3">
        <v>8376.6299999999992</v>
      </c>
      <c r="L21" s="3">
        <v>8283.36</v>
      </c>
      <c r="M21" s="3">
        <v>8414.3700000000008</v>
      </c>
      <c r="N21" s="3">
        <v>8008.23</v>
      </c>
      <c r="O21" t="s">
        <v>273</v>
      </c>
      <c r="P21" s="2">
        <v>1E-3</v>
      </c>
      <c r="R21" s="34" t="s">
        <v>785</v>
      </c>
    </row>
    <row r="22" spans="1:18">
      <c r="A22" s="17"/>
      <c r="B22" s="1">
        <v>45474</v>
      </c>
      <c r="C22" s="3">
        <v>1086</v>
      </c>
      <c r="D22" s="3">
        <v>1070</v>
      </c>
      <c r="E22" s="3">
        <v>1144</v>
      </c>
      <c r="F22" s="3">
        <v>1016</v>
      </c>
      <c r="G22" t="s">
        <v>25</v>
      </c>
      <c r="H22" s="2">
        <v>2.2599999999999999E-2</v>
      </c>
      <c r="J22" s="1">
        <v>45474</v>
      </c>
      <c r="K22" s="3">
        <v>8367.98</v>
      </c>
      <c r="L22" s="3">
        <v>8164.12</v>
      </c>
      <c r="M22" s="3">
        <v>8399.8799999999992</v>
      </c>
      <c r="N22" s="3">
        <v>8056.01</v>
      </c>
      <c r="O22" t="s">
        <v>274</v>
      </c>
      <c r="P22" s="2">
        <v>2.5000000000000001E-2</v>
      </c>
    </row>
    <row r="23" spans="1:18">
      <c r="A23" s="17"/>
      <c r="B23" s="1">
        <v>45444</v>
      </c>
      <c r="C23" s="3">
        <v>1062</v>
      </c>
      <c r="D23" s="3">
        <v>1050</v>
      </c>
      <c r="E23" s="3">
        <v>1100</v>
      </c>
      <c r="F23" s="3">
        <v>1050</v>
      </c>
      <c r="G23" t="s">
        <v>26</v>
      </c>
      <c r="H23" s="2">
        <v>-5.5999999999999999E-3</v>
      </c>
      <c r="J23" s="1">
        <v>45444</v>
      </c>
      <c r="K23" s="3">
        <v>8164.12</v>
      </c>
      <c r="L23" s="3">
        <v>8275.3799999999992</v>
      </c>
      <c r="M23" s="3">
        <v>8371.7199999999993</v>
      </c>
      <c r="N23" s="3">
        <v>8112.93</v>
      </c>
      <c r="O23" t="s">
        <v>275</v>
      </c>
      <c r="P23" s="2">
        <v>-1.34E-2</v>
      </c>
    </row>
    <row r="24" spans="1:18">
      <c r="A24" s="17"/>
      <c r="B24" s="1">
        <v>45413</v>
      </c>
      <c r="C24" s="3">
        <v>1068</v>
      </c>
      <c r="D24">
        <v>961.16</v>
      </c>
      <c r="E24" s="3">
        <v>1086</v>
      </c>
      <c r="F24">
        <v>935.88</v>
      </c>
      <c r="G24" t="s">
        <v>27</v>
      </c>
      <c r="H24" s="2">
        <v>0.13020000000000001</v>
      </c>
      <c r="J24" s="1">
        <v>45413</v>
      </c>
      <c r="K24" s="3">
        <v>8275.3799999999992</v>
      </c>
      <c r="L24" s="3">
        <v>8144.13</v>
      </c>
      <c r="M24" s="3">
        <v>8474.41</v>
      </c>
      <c r="N24" s="3">
        <v>8111.38</v>
      </c>
      <c r="O24" t="s">
        <v>276</v>
      </c>
      <c r="P24" s="2">
        <v>1.61E-2</v>
      </c>
    </row>
    <row r="25" spans="1:18">
      <c r="A25" s="17"/>
      <c r="B25" s="1">
        <v>45383</v>
      </c>
      <c r="C25">
        <v>945</v>
      </c>
      <c r="D25">
        <v>906.75</v>
      </c>
      <c r="E25">
        <v>969</v>
      </c>
      <c r="F25">
        <v>882.92</v>
      </c>
      <c r="G25" t="s">
        <v>28</v>
      </c>
      <c r="H25" s="2">
        <v>2.2700000000000001E-2</v>
      </c>
      <c r="J25" s="1">
        <v>45383</v>
      </c>
      <c r="K25" s="3">
        <v>8144.13</v>
      </c>
      <c r="L25" s="3">
        <v>7952.62</v>
      </c>
      <c r="M25" s="3">
        <v>8199.9500000000007</v>
      </c>
      <c r="N25" s="3">
        <v>7793.91</v>
      </c>
      <c r="O25" t="s">
        <v>277</v>
      </c>
      <c r="P25" s="2">
        <v>2.41E-2</v>
      </c>
    </row>
    <row r="26" spans="1:18">
      <c r="A26" s="17"/>
      <c r="B26" s="1">
        <v>45352</v>
      </c>
      <c r="C26">
        <v>924</v>
      </c>
      <c r="D26">
        <v>872.32</v>
      </c>
      <c r="E26">
        <v>939</v>
      </c>
      <c r="F26">
        <v>860</v>
      </c>
      <c r="G26" t="s">
        <v>29</v>
      </c>
      <c r="H26" s="2">
        <v>5.6000000000000001E-2</v>
      </c>
      <c r="J26" s="1">
        <v>45352</v>
      </c>
      <c r="K26" s="3">
        <v>7952.62</v>
      </c>
      <c r="L26" s="3">
        <v>7630.02</v>
      </c>
      <c r="M26" s="3">
        <v>7975.38</v>
      </c>
      <c r="N26" s="3">
        <v>7598.47</v>
      </c>
      <c r="O26" t="s">
        <v>278</v>
      </c>
      <c r="P26" s="2">
        <v>4.2299999999999997E-2</v>
      </c>
      <c r="R26" s="5" t="s">
        <v>768</v>
      </c>
    </row>
    <row r="27" spans="1:18">
      <c r="A27" s="17"/>
      <c r="B27" s="1">
        <v>45323</v>
      </c>
      <c r="C27">
        <v>875</v>
      </c>
      <c r="D27">
        <v>900</v>
      </c>
      <c r="E27">
        <v>900</v>
      </c>
      <c r="F27">
        <v>831</v>
      </c>
      <c r="G27" t="s">
        <v>30</v>
      </c>
      <c r="H27" s="2">
        <v>-5.7000000000000002E-3</v>
      </c>
      <c r="J27" s="1">
        <v>45323</v>
      </c>
      <c r="K27" s="3">
        <v>7630.02</v>
      </c>
      <c r="L27" s="3">
        <v>7630.57</v>
      </c>
      <c r="M27" s="3">
        <v>7748.73</v>
      </c>
      <c r="N27" s="3">
        <v>7492.98</v>
      </c>
      <c r="O27" t="s">
        <v>279</v>
      </c>
      <c r="P27" s="2">
        <v>-1E-4</v>
      </c>
    </row>
    <row r="28" spans="1:18">
      <c r="A28" s="17"/>
      <c r="B28" s="1">
        <v>45292</v>
      </c>
      <c r="C28">
        <v>880</v>
      </c>
      <c r="D28">
        <v>840</v>
      </c>
      <c r="E28">
        <v>884</v>
      </c>
      <c r="F28">
        <v>804</v>
      </c>
      <c r="G28" t="s">
        <v>31</v>
      </c>
      <c r="H28" s="2">
        <v>2.4400000000000002E-2</v>
      </c>
      <c r="I28" s="2"/>
      <c r="J28" s="1">
        <v>45292</v>
      </c>
      <c r="K28" s="3">
        <v>7630.57</v>
      </c>
      <c r="L28" s="3">
        <v>7733.24</v>
      </c>
      <c r="M28" s="3">
        <v>7764.37</v>
      </c>
      <c r="N28" s="3">
        <v>7404.08</v>
      </c>
      <c r="O28" t="s">
        <v>280</v>
      </c>
      <c r="P28" s="2">
        <v>-1.3299999999999999E-2</v>
      </c>
      <c r="Q28" s="2"/>
    </row>
    <row r="29" spans="1:18">
      <c r="A29" s="17"/>
      <c r="B29" s="1">
        <v>45261</v>
      </c>
      <c r="C29">
        <v>859</v>
      </c>
      <c r="D29">
        <v>818</v>
      </c>
      <c r="E29">
        <v>867</v>
      </c>
      <c r="F29">
        <v>800</v>
      </c>
      <c r="G29" t="s">
        <v>32</v>
      </c>
      <c r="H29" s="2">
        <v>2.0199999999999999E-2</v>
      </c>
      <c r="J29" s="1">
        <v>45261</v>
      </c>
      <c r="K29" s="3">
        <v>7733.24</v>
      </c>
      <c r="L29" s="3">
        <v>7453.75</v>
      </c>
      <c r="M29" s="3">
        <v>7762.88</v>
      </c>
      <c r="N29" s="3">
        <v>7453.75</v>
      </c>
      <c r="O29" t="s">
        <v>281</v>
      </c>
      <c r="P29" s="2">
        <v>3.7499999999999999E-2</v>
      </c>
    </row>
    <row r="30" spans="1:18">
      <c r="A30" s="17"/>
      <c r="B30" s="1">
        <v>45231</v>
      </c>
      <c r="C30">
        <v>842</v>
      </c>
      <c r="D30">
        <v>714.16</v>
      </c>
      <c r="E30">
        <v>842</v>
      </c>
      <c r="F30">
        <v>705</v>
      </c>
      <c r="G30" t="s">
        <v>33</v>
      </c>
      <c r="H30" s="2">
        <v>0.17430000000000001</v>
      </c>
      <c r="J30" s="1">
        <v>45231</v>
      </c>
      <c r="K30" s="3">
        <v>7453.75</v>
      </c>
      <c r="L30" s="3">
        <v>7321.72</v>
      </c>
      <c r="M30" s="3">
        <v>7533.77</v>
      </c>
      <c r="N30" s="3">
        <v>7304.89</v>
      </c>
      <c r="O30" t="s">
        <v>282</v>
      </c>
      <c r="P30" s="2">
        <v>1.7999999999999999E-2</v>
      </c>
    </row>
    <row r="31" spans="1:18">
      <c r="A31" s="17"/>
      <c r="B31" s="1">
        <v>45200</v>
      </c>
      <c r="C31">
        <v>717</v>
      </c>
      <c r="D31">
        <v>723</v>
      </c>
      <c r="E31">
        <v>740</v>
      </c>
      <c r="F31">
        <v>672</v>
      </c>
      <c r="G31" t="s">
        <v>34</v>
      </c>
      <c r="H31" s="2">
        <v>5.5999999999999999E-3</v>
      </c>
      <c r="J31" s="1">
        <v>45200</v>
      </c>
      <c r="K31" s="3">
        <v>7321.72</v>
      </c>
      <c r="L31" s="3">
        <v>7608.08</v>
      </c>
      <c r="M31" s="3">
        <v>7687.91</v>
      </c>
      <c r="N31" s="3">
        <v>7279.86</v>
      </c>
      <c r="O31" t="s">
        <v>283</v>
      </c>
      <c r="P31" s="2">
        <v>-3.7600000000000001E-2</v>
      </c>
    </row>
    <row r="32" spans="1:18">
      <c r="A32" s="17"/>
      <c r="B32" s="1">
        <v>45170</v>
      </c>
      <c r="C32">
        <v>713</v>
      </c>
      <c r="D32">
        <v>726</v>
      </c>
      <c r="E32">
        <v>739</v>
      </c>
      <c r="F32">
        <v>699</v>
      </c>
      <c r="G32" t="s">
        <v>35</v>
      </c>
      <c r="H32" s="2">
        <v>-7.0000000000000001E-3</v>
      </c>
      <c r="J32" s="1">
        <v>45170</v>
      </c>
      <c r="K32" s="3">
        <v>7608.08</v>
      </c>
      <c r="L32" s="3">
        <v>7439.13</v>
      </c>
      <c r="M32" s="3">
        <v>7746.53</v>
      </c>
      <c r="N32" s="3">
        <v>7369.64</v>
      </c>
      <c r="O32" t="s">
        <v>284</v>
      </c>
      <c r="P32" s="2">
        <v>2.2700000000000001E-2</v>
      </c>
    </row>
    <row r="33" spans="1:33">
      <c r="A33" s="17"/>
      <c r="B33" s="1">
        <v>45139</v>
      </c>
      <c r="C33">
        <v>718</v>
      </c>
      <c r="D33">
        <v>741.4</v>
      </c>
      <c r="E33">
        <v>774</v>
      </c>
      <c r="F33">
        <v>700</v>
      </c>
      <c r="G33" t="s">
        <v>36</v>
      </c>
      <c r="H33" s="2">
        <v>-1.6400000000000001E-2</v>
      </c>
      <c r="J33" s="1">
        <v>45139</v>
      </c>
      <c r="K33" s="3">
        <v>7439.13</v>
      </c>
      <c r="L33" s="3">
        <v>7699.41</v>
      </c>
      <c r="M33" s="3">
        <v>7715.24</v>
      </c>
      <c r="N33" s="3">
        <v>7215.76</v>
      </c>
      <c r="O33" t="s">
        <v>285</v>
      </c>
      <c r="P33" s="2">
        <v>-3.3799999999999997E-2</v>
      </c>
      <c r="T33" s="5"/>
      <c r="U33" s="5"/>
      <c r="V33" s="5"/>
      <c r="W33" s="5"/>
      <c r="X33" s="5"/>
      <c r="Y33" s="5"/>
    </row>
    <row r="34" spans="1:33">
      <c r="A34" s="17"/>
      <c r="B34" s="1">
        <v>45108</v>
      </c>
      <c r="C34">
        <v>730</v>
      </c>
      <c r="D34">
        <v>744.88</v>
      </c>
      <c r="E34">
        <v>766</v>
      </c>
      <c r="F34">
        <v>711</v>
      </c>
      <c r="G34" t="s">
        <v>37</v>
      </c>
      <c r="H34" s="2">
        <v>-1.8800000000000001E-2</v>
      </c>
      <c r="J34" s="1">
        <v>45108</v>
      </c>
      <c r="K34" s="3">
        <v>7699.41</v>
      </c>
      <c r="L34" s="3">
        <v>7531.53</v>
      </c>
      <c r="M34" s="3">
        <v>7722.92</v>
      </c>
      <c r="N34" s="3">
        <v>7229.57</v>
      </c>
      <c r="O34" t="s">
        <v>286</v>
      </c>
      <c r="P34" s="2">
        <v>2.23E-2</v>
      </c>
    </row>
    <row r="35" spans="1:33">
      <c r="A35" s="17"/>
      <c r="B35" s="1">
        <v>45078</v>
      </c>
      <c r="C35">
        <v>744</v>
      </c>
      <c r="D35">
        <v>727</v>
      </c>
      <c r="E35">
        <v>762</v>
      </c>
      <c r="F35">
        <v>704</v>
      </c>
      <c r="G35" t="s">
        <v>38</v>
      </c>
      <c r="H35" s="2">
        <v>4.0599999999999997E-2</v>
      </c>
      <c r="J35" s="1">
        <v>45078</v>
      </c>
      <c r="K35" s="3">
        <v>7531.53</v>
      </c>
      <c r="L35" s="3">
        <v>7446.14</v>
      </c>
      <c r="M35" s="3">
        <v>7687.61</v>
      </c>
      <c r="N35" s="3">
        <v>7401.18</v>
      </c>
      <c r="O35" t="s">
        <v>287</v>
      </c>
      <c r="P35" s="2">
        <v>1.15E-2</v>
      </c>
      <c r="AG35" s="5" t="s">
        <v>66</v>
      </c>
    </row>
    <row r="36" spans="1:33">
      <c r="A36" s="17"/>
      <c r="B36" s="1">
        <v>45047</v>
      </c>
      <c r="C36">
        <v>715</v>
      </c>
      <c r="D36">
        <v>712</v>
      </c>
      <c r="E36">
        <v>758.68</v>
      </c>
      <c r="F36">
        <v>707</v>
      </c>
      <c r="G36" t="s">
        <v>39</v>
      </c>
      <c r="H36" s="2">
        <v>-1.6500000000000001E-2</v>
      </c>
      <c r="J36" s="1">
        <v>45047</v>
      </c>
      <c r="K36" s="3">
        <v>7446.14</v>
      </c>
      <c r="L36" s="3">
        <v>7870.57</v>
      </c>
      <c r="M36" s="3">
        <v>7898.69</v>
      </c>
      <c r="N36" s="3">
        <v>7446.14</v>
      </c>
      <c r="O36" t="s">
        <v>288</v>
      </c>
      <c r="P36" s="2">
        <v>-5.3900000000000003E-2</v>
      </c>
    </row>
    <row r="37" spans="1:33">
      <c r="A37" s="17"/>
      <c r="B37" s="1">
        <v>45017</v>
      </c>
      <c r="C37">
        <v>727</v>
      </c>
      <c r="D37">
        <v>674.35</v>
      </c>
      <c r="E37">
        <v>734</v>
      </c>
      <c r="F37">
        <v>650</v>
      </c>
      <c r="G37" t="s">
        <v>26</v>
      </c>
      <c r="H37" s="2">
        <v>7.5399999999999995E-2</v>
      </c>
      <c r="J37" s="1">
        <v>45017</v>
      </c>
      <c r="K37" s="3">
        <v>7870.57</v>
      </c>
      <c r="L37" s="3">
        <v>7631.74</v>
      </c>
      <c r="M37" s="3">
        <v>7936.11</v>
      </c>
      <c r="N37" s="3">
        <v>7631.74</v>
      </c>
      <c r="O37" t="s">
        <v>289</v>
      </c>
      <c r="P37" s="2">
        <v>3.1300000000000001E-2</v>
      </c>
    </row>
    <row r="38" spans="1:33">
      <c r="A38" s="17"/>
      <c r="B38" s="1">
        <v>44986</v>
      </c>
      <c r="C38">
        <v>676</v>
      </c>
      <c r="D38">
        <v>713</v>
      </c>
      <c r="E38">
        <v>713</v>
      </c>
      <c r="F38">
        <v>660.17</v>
      </c>
      <c r="G38" t="s">
        <v>40</v>
      </c>
      <c r="H38" s="2">
        <v>-5.1900000000000002E-2</v>
      </c>
      <c r="J38" s="1">
        <v>44986</v>
      </c>
      <c r="K38" s="3">
        <v>7631.74</v>
      </c>
      <c r="L38" s="3">
        <v>7876.28</v>
      </c>
      <c r="M38" s="3">
        <v>7974.4</v>
      </c>
      <c r="N38" s="3">
        <v>7206.82</v>
      </c>
      <c r="O38" t="s">
        <v>290</v>
      </c>
      <c r="P38" s="2">
        <v>-3.1E-2</v>
      </c>
    </row>
    <row r="39" spans="1:33">
      <c r="A39" s="17"/>
      <c r="B39" s="1">
        <v>44958</v>
      </c>
      <c r="C39">
        <v>713</v>
      </c>
      <c r="D39">
        <v>742</v>
      </c>
      <c r="E39">
        <v>760</v>
      </c>
      <c r="F39">
        <v>683.1</v>
      </c>
      <c r="G39" t="s">
        <v>41</v>
      </c>
      <c r="H39" s="2">
        <v>-2.5999999999999999E-2</v>
      </c>
      <c r="J39" s="1">
        <v>44958</v>
      </c>
      <c r="K39" s="3">
        <v>7876.28</v>
      </c>
      <c r="L39" s="3">
        <v>7771.7</v>
      </c>
      <c r="M39" s="3">
        <v>8047.06</v>
      </c>
      <c r="N39" s="3">
        <v>7745.43</v>
      </c>
      <c r="O39" t="s">
        <v>291</v>
      </c>
      <c r="P39" s="2">
        <v>1.35E-2</v>
      </c>
    </row>
    <row r="40" spans="1:33">
      <c r="A40" s="17"/>
      <c r="B40" s="1">
        <v>44927</v>
      </c>
      <c r="C40">
        <v>732</v>
      </c>
      <c r="D40">
        <v>731.98</v>
      </c>
      <c r="E40">
        <v>760</v>
      </c>
      <c r="F40">
        <v>701</v>
      </c>
      <c r="G40" t="s">
        <v>42</v>
      </c>
      <c r="H40" s="2">
        <v>0</v>
      </c>
      <c r="I40" s="38"/>
      <c r="J40" s="1">
        <v>44927</v>
      </c>
      <c r="K40" s="3">
        <v>7771.7</v>
      </c>
      <c r="L40" s="3">
        <v>7451.74</v>
      </c>
      <c r="M40" s="3">
        <v>7875.58</v>
      </c>
      <c r="N40" s="3">
        <v>7448.69</v>
      </c>
      <c r="O40" t="s">
        <v>292</v>
      </c>
      <c r="P40" s="2">
        <v>4.2900000000000001E-2</v>
      </c>
      <c r="Q40" s="38"/>
      <c r="R40" s="5"/>
      <c r="S40" s="66"/>
    </row>
    <row r="41" spans="1:33">
      <c r="A41" s="17"/>
      <c r="B41" s="1">
        <v>44896</v>
      </c>
      <c r="C41">
        <v>732</v>
      </c>
      <c r="D41">
        <v>700</v>
      </c>
      <c r="E41">
        <v>739</v>
      </c>
      <c r="F41">
        <v>661.2</v>
      </c>
      <c r="G41" t="s">
        <v>43</v>
      </c>
      <c r="H41" s="2">
        <v>7.17E-2</v>
      </c>
      <c r="I41" s="2"/>
      <c r="J41" s="1">
        <v>44896</v>
      </c>
      <c r="K41" s="3">
        <v>7451.74</v>
      </c>
      <c r="L41" s="3">
        <v>7573.05</v>
      </c>
      <c r="M41" s="3">
        <v>7599.7</v>
      </c>
      <c r="N41" s="3">
        <v>7302.82</v>
      </c>
      <c r="O41" t="s">
        <v>293</v>
      </c>
      <c r="P41" s="2">
        <v>-1.6E-2</v>
      </c>
      <c r="Q41" s="2"/>
    </row>
    <row r="42" spans="1:33">
      <c r="A42" s="17"/>
      <c r="B42" s="1">
        <v>44866</v>
      </c>
      <c r="C42">
        <v>683</v>
      </c>
      <c r="D42">
        <v>614</v>
      </c>
      <c r="E42">
        <v>704</v>
      </c>
      <c r="F42">
        <v>575</v>
      </c>
      <c r="G42" t="s">
        <v>44</v>
      </c>
      <c r="H42" s="2">
        <v>0.1124</v>
      </c>
      <c r="J42" s="1">
        <v>44866</v>
      </c>
      <c r="K42" s="3">
        <v>7573.05</v>
      </c>
      <c r="L42" s="3">
        <v>7094.53</v>
      </c>
      <c r="M42" s="3">
        <v>7599.27</v>
      </c>
      <c r="N42" s="3">
        <v>7076.47</v>
      </c>
      <c r="O42" t="s">
        <v>294</v>
      </c>
      <c r="P42" s="2">
        <v>6.7400000000000002E-2</v>
      </c>
    </row>
    <row r="43" spans="1:33">
      <c r="A43" s="17"/>
      <c r="B43" s="1">
        <v>44835</v>
      </c>
      <c r="C43">
        <v>614</v>
      </c>
      <c r="D43">
        <v>584</v>
      </c>
      <c r="E43">
        <v>625</v>
      </c>
      <c r="F43">
        <v>550</v>
      </c>
      <c r="G43" t="s">
        <v>45</v>
      </c>
      <c r="H43" s="2">
        <v>7.7200000000000005E-2</v>
      </c>
      <c r="J43" s="1">
        <v>44835</v>
      </c>
      <c r="K43" s="3">
        <v>7094.53</v>
      </c>
      <c r="L43" s="3">
        <v>6893.81</v>
      </c>
      <c r="M43" s="3">
        <v>7132.85</v>
      </c>
      <c r="N43" s="3">
        <v>6707.62</v>
      </c>
      <c r="O43" t="s">
        <v>295</v>
      </c>
      <c r="P43" s="2">
        <v>2.9100000000000001E-2</v>
      </c>
    </row>
    <row r="44" spans="1:33">
      <c r="A44" s="17"/>
      <c r="B44" s="1">
        <v>44805</v>
      </c>
      <c r="C44">
        <v>570</v>
      </c>
      <c r="D44">
        <v>651</v>
      </c>
      <c r="E44">
        <v>679</v>
      </c>
      <c r="F44">
        <v>562</v>
      </c>
      <c r="G44" t="s">
        <v>46</v>
      </c>
      <c r="H44" s="2">
        <v>-0.1135</v>
      </c>
      <c r="J44" s="1">
        <v>44805</v>
      </c>
      <c r="K44" s="3">
        <v>6893.81</v>
      </c>
      <c r="L44" s="3">
        <v>7284.15</v>
      </c>
      <c r="M44" s="3">
        <v>7514.04</v>
      </c>
      <c r="N44" s="3">
        <v>6829.29</v>
      </c>
      <c r="O44" t="s">
        <v>296</v>
      </c>
      <c r="P44" s="2">
        <v>-5.3600000000000002E-2</v>
      </c>
    </row>
    <row r="45" spans="1:33">
      <c r="A45" s="17"/>
      <c r="B45" s="1">
        <v>44774</v>
      </c>
      <c r="C45">
        <v>643</v>
      </c>
      <c r="D45">
        <v>750</v>
      </c>
      <c r="E45">
        <v>764</v>
      </c>
      <c r="F45">
        <v>643</v>
      </c>
      <c r="G45" t="s">
        <v>43</v>
      </c>
      <c r="H45" s="2">
        <v>-0.1323</v>
      </c>
      <c r="J45" s="1">
        <v>44774</v>
      </c>
      <c r="K45" s="3">
        <v>7284.15</v>
      </c>
      <c r="L45" s="3">
        <v>7446.01</v>
      </c>
      <c r="M45" s="3">
        <v>7578.85</v>
      </c>
      <c r="N45" s="3">
        <v>7263.62</v>
      </c>
      <c r="O45" t="s">
        <v>297</v>
      </c>
      <c r="P45" s="2">
        <v>-1.8800000000000001E-2</v>
      </c>
    </row>
    <row r="46" spans="1:33">
      <c r="A46" s="17"/>
      <c r="B46" s="1">
        <v>44743</v>
      </c>
      <c r="C46">
        <v>741</v>
      </c>
      <c r="D46">
        <v>634</v>
      </c>
      <c r="E46">
        <v>789</v>
      </c>
      <c r="F46">
        <v>632</v>
      </c>
      <c r="G46" t="s">
        <v>47</v>
      </c>
      <c r="H46" s="2">
        <v>0.1578</v>
      </c>
      <c r="J46" s="1">
        <v>44743</v>
      </c>
      <c r="K46" s="3">
        <v>7423.43</v>
      </c>
      <c r="L46" s="3">
        <v>7169.28</v>
      </c>
      <c r="M46" s="3">
        <v>7441.2</v>
      </c>
      <c r="N46" s="3">
        <v>7007.09</v>
      </c>
      <c r="O46" t="s">
        <v>298</v>
      </c>
      <c r="P46" s="2">
        <v>3.5400000000000001E-2</v>
      </c>
    </row>
    <row r="47" spans="1:33">
      <c r="A47" s="17"/>
      <c r="B47" s="1">
        <v>44713</v>
      </c>
      <c r="C47">
        <v>640</v>
      </c>
      <c r="D47">
        <v>703</v>
      </c>
      <c r="E47">
        <v>708</v>
      </c>
      <c r="F47">
        <v>620</v>
      </c>
      <c r="G47" t="s">
        <v>48</v>
      </c>
      <c r="H47" s="2">
        <v>-7.51E-2</v>
      </c>
      <c r="J47" s="1">
        <v>44713</v>
      </c>
      <c r="K47" s="3">
        <v>7169.28</v>
      </c>
      <c r="L47" s="3">
        <v>7607.66</v>
      </c>
      <c r="M47" s="3">
        <v>7646.66</v>
      </c>
      <c r="N47" s="3">
        <v>6998.17</v>
      </c>
      <c r="O47" t="s">
        <v>299</v>
      </c>
      <c r="P47" s="2">
        <v>-5.7599999999999998E-2</v>
      </c>
    </row>
    <row r="48" spans="1:33">
      <c r="A48" s="17"/>
      <c r="B48" s="1">
        <v>44682</v>
      </c>
      <c r="C48">
        <v>692</v>
      </c>
      <c r="D48">
        <v>692.05</v>
      </c>
      <c r="E48">
        <v>719</v>
      </c>
      <c r="F48">
        <v>664.78</v>
      </c>
      <c r="G48" t="s">
        <v>49</v>
      </c>
      <c r="H48" s="2">
        <v>-0.01</v>
      </c>
      <c r="J48" s="1">
        <v>44682</v>
      </c>
      <c r="K48" s="3">
        <v>7607.66</v>
      </c>
      <c r="L48" s="3">
        <v>7544.55</v>
      </c>
      <c r="M48" s="3">
        <v>7648.26</v>
      </c>
      <c r="N48" s="3">
        <v>7158.53</v>
      </c>
      <c r="O48" t="s">
        <v>300</v>
      </c>
      <c r="P48" s="2">
        <v>8.3999999999999995E-3</v>
      </c>
    </row>
    <row r="49" spans="1:17">
      <c r="A49" s="17"/>
      <c r="B49" s="1">
        <v>44652</v>
      </c>
      <c r="C49">
        <v>699</v>
      </c>
      <c r="D49">
        <v>687.95</v>
      </c>
      <c r="E49">
        <v>717.67</v>
      </c>
      <c r="F49">
        <v>660</v>
      </c>
      <c r="G49" t="s">
        <v>50</v>
      </c>
      <c r="H49" s="2">
        <v>2.1899999999999999E-2</v>
      </c>
      <c r="J49" s="1">
        <v>44652</v>
      </c>
      <c r="K49" s="3">
        <v>7544.55</v>
      </c>
      <c r="L49" s="3">
        <v>7515.68</v>
      </c>
      <c r="M49" s="3">
        <v>7669.56</v>
      </c>
      <c r="N49" s="3">
        <v>7339.53</v>
      </c>
      <c r="O49" t="s">
        <v>301</v>
      </c>
      <c r="P49" s="2">
        <v>3.8E-3</v>
      </c>
    </row>
    <row r="50" spans="1:17">
      <c r="A50" s="17"/>
      <c r="B50" s="1">
        <v>44621</v>
      </c>
      <c r="C50">
        <v>684</v>
      </c>
      <c r="D50">
        <v>676.26</v>
      </c>
      <c r="E50">
        <v>720</v>
      </c>
      <c r="F50">
        <v>576.70000000000005</v>
      </c>
      <c r="G50" t="s">
        <v>51</v>
      </c>
      <c r="H50" s="2">
        <v>5.8999999999999999E-3</v>
      </c>
      <c r="J50" s="1">
        <v>44621</v>
      </c>
      <c r="K50" s="3">
        <v>7515.68</v>
      </c>
      <c r="L50" s="3">
        <v>7458.25</v>
      </c>
      <c r="M50" s="3">
        <v>7595.42</v>
      </c>
      <c r="N50" s="3">
        <v>6787.98</v>
      </c>
      <c r="O50" t="s">
        <v>302</v>
      </c>
      <c r="P50" s="2">
        <v>7.7000000000000002E-3</v>
      </c>
    </row>
    <row r="51" spans="1:17">
      <c r="A51" s="17"/>
      <c r="B51" s="1">
        <v>44593</v>
      </c>
      <c r="C51">
        <v>680</v>
      </c>
      <c r="D51">
        <v>725.44</v>
      </c>
      <c r="E51">
        <v>768</v>
      </c>
      <c r="F51">
        <v>661</v>
      </c>
      <c r="G51" t="s">
        <v>52</v>
      </c>
      <c r="H51" s="2">
        <v>-5.5599999999999997E-2</v>
      </c>
      <c r="J51" s="1">
        <v>44593</v>
      </c>
      <c r="K51" s="3">
        <v>7458.25</v>
      </c>
      <c r="L51" s="3">
        <v>7464.37</v>
      </c>
      <c r="M51" s="3">
        <v>7687.27</v>
      </c>
      <c r="N51" s="3">
        <v>7204.74</v>
      </c>
      <c r="O51" t="s">
        <v>303</v>
      </c>
      <c r="P51" s="2">
        <v>-8.0000000000000004E-4</v>
      </c>
    </row>
    <row r="52" spans="1:17">
      <c r="A52" s="17"/>
      <c r="B52" s="1">
        <v>44562</v>
      </c>
      <c r="C52">
        <v>720</v>
      </c>
      <c r="D52">
        <v>835</v>
      </c>
      <c r="E52">
        <v>840</v>
      </c>
      <c r="F52">
        <v>692.56</v>
      </c>
      <c r="G52" t="s">
        <v>53</v>
      </c>
      <c r="H52" s="2">
        <v>-0.13769999999999999</v>
      </c>
      <c r="I52" s="2"/>
      <c r="J52" s="1">
        <v>44562</v>
      </c>
      <c r="K52" s="3">
        <v>7464.37</v>
      </c>
      <c r="L52" s="3">
        <v>7384.54</v>
      </c>
      <c r="M52" s="3">
        <v>7619.01</v>
      </c>
      <c r="N52" s="3">
        <v>7283.38</v>
      </c>
      <c r="O52" t="s">
        <v>304</v>
      </c>
      <c r="P52" s="2">
        <v>1.0800000000000001E-2</v>
      </c>
      <c r="Q52" s="2"/>
    </row>
    <row r="53" spans="1:17">
      <c r="A53" s="17"/>
      <c r="B53" s="1">
        <v>44531</v>
      </c>
      <c r="C53">
        <v>835</v>
      </c>
      <c r="D53">
        <v>798.5</v>
      </c>
      <c r="E53">
        <v>874</v>
      </c>
      <c r="F53">
        <v>773</v>
      </c>
      <c r="G53" t="s">
        <v>54</v>
      </c>
      <c r="H53" s="2">
        <v>3.9899999999999998E-2</v>
      </c>
      <c r="J53" s="1">
        <v>44531</v>
      </c>
      <c r="K53" s="3">
        <v>7384.54</v>
      </c>
      <c r="L53" s="3">
        <v>7059.45</v>
      </c>
      <c r="M53" s="3">
        <v>7457.14</v>
      </c>
      <c r="N53" s="3">
        <v>7059.35</v>
      </c>
      <c r="O53" t="s">
        <v>305</v>
      </c>
      <c r="P53" s="2">
        <v>4.6100000000000002E-2</v>
      </c>
    </row>
    <row r="54" spans="1:17">
      <c r="A54" s="17"/>
      <c r="B54" s="1">
        <v>44501</v>
      </c>
      <c r="C54">
        <v>803</v>
      </c>
      <c r="D54">
        <v>760</v>
      </c>
      <c r="E54">
        <v>824.96</v>
      </c>
      <c r="F54">
        <v>662.32</v>
      </c>
      <c r="G54" t="s">
        <v>55</v>
      </c>
      <c r="H54" s="2">
        <v>5.2400000000000002E-2</v>
      </c>
      <c r="J54" s="1">
        <v>44501</v>
      </c>
      <c r="K54" s="3">
        <v>7059.45</v>
      </c>
      <c r="L54" s="3">
        <v>7237.57</v>
      </c>
      <c r="M54" s="3">
        <v>7402.68</v>
      </c>
      <c r="N54" s="3">
        <v>6989.66</v>
      </c>
      <c r="O54" t="s">
        <v>306</v>
      </c>
      <c r="P54" s="2">
        <v>-2.46E-2</v>
      </c>
    </row>
    <row r="55" spans="1:17">
      <c r="A55" s="17"/>
      <c r="B55" s="1">
        <v>44470</v>
      </c>
      <c r="C55">
        <v>763</v>
      </c>
      <c r="D55">
        <v>797</v>
      </c>
      <c r="E55">
        <v>805.32</v>
      </c>
      <c r="F55">
        <v>725</v>
      </c>
      <c r="G55" t="s">
        <v>56</v>
      </c>
      <c r="H55" s="2">
        <v>-3.4200000000000001E-2</v>
      </c>
      <c r="J55" s="1">
        <v>44470</v>
      </c>
      <c r="K55" s="3">
        <v>7237.57</v>
      </c>
      <c r="L55" s="3">
        <v>7086.42</v>
      </c>
      <c r="M55" s="3">
        <v>7281.17</v>
      </c>
      <c r="N55" s="3">
        <v>6945.5</v>
      </c>
      <c r="O55" t="s">
        <v>307</v>
      </c>
      <c r="P55" s="2">
        <v>2.1299999999999999E-2</v>
      </c>
    </row>
    <row r="56" spans="1:17">
      <c r="A56" s="17"/>
      <c r="B56" s="1">
        <v>44440</v>
      </c>
      <c r="C56">
        <v>790</v>
      </c>
      <c r="D56">
        <v>751</v>
      </c>
      <c r="E56">
        <v>889</v>
      </c>
      <c r="F56">
        <v>750</v>
      </c>
      <c r="G56" t="s">
        <v>57</v>
      </c>
      <c r="H56" s="2">
        <v>0.03</v>
      </c>
      <c r="J56" s="1">
        <v>44440</v>
      </c>
      <c r="K56" s="3">
        <v>7086.42</v>
      </c>
      <c r="L56" s="3">
        <v>7119.7</v>
      </c>
      <c r="M56" s="3">
        <v>7195.62</v>
      </c>
      <c r="N56" s="3">
        <v>6828.28</v>
      </c>
      <c r="O56" t="s">
        <v>308</v>
      </c>
      <c r="P56" s="2">
        <v>-4.7000000000000002E-3</v>
      </c>
    </row>
    <row r="57" spans="1:17">
      <c r="A57" s="17"/>
      <c r="B57" s="1">
        <v>44409</v>
      </c>
      <c r="C57">
        <v>767</v>
      </c>
      <c r="D57">
        <v>753</v>
      </c>
      <c r="E57">
        <v>804.56</v>
      </c>
      <c r="F57">
        <v>721</v>
      </c>
      <c r="G57" t="s">
        <v>58</v>
      </c>
      <c r="H57" s="2">
        <v>2.8199999999999999E-2</v>
      </c>
      <c r="J57" s="1">
        <v>44409</v>
      </c>
      <c r="K57" s="3">
        <v>7119.7</v>
      </c>
      <c r="L57" s="3">
        <v>7032.3</v>
      </c>
      <c r="M57" s="3">
        <v>7224.46</v>
      </c>
      <c r="N57" s="3">
        <v>6993.06</v>
      </c>
      <c r="O57" t="s">
        <v>309</v>
      </c>
      <c r="P57" s="2">
        <v>1.24E-2</v>
      </c>
    </row>
    <row r="58" spans="1:17">
      <c r="A58" s="17"/>
      <c r="B58" s="1">
        <v>44378</v>
      </c>
      <c r="C58">
        <v>746</v>
      </c>
      <c r="D58">
        <v>692</v>
      </c>
      <c r="E58">
        <v>765</v>
      </c>
      <c r="F58">
        <v>673</v>
      </c>
      <c r="G58" t="s">
        <v>59</v>
      </c>
      <c r="H58" s="2">
        <v>0.1052</v>
      </c>
      <c r="J58" s="1">
        <v>44378</v>
      </c>
      <c r="K58" s="3">
        <v>7032.3</v>
      </c>
      <c r="L58" s="3">
        <v>7037.47</v>
      </c>
      <c r="M58" s="3">
        <v>7170.6</v>
      </c>
      <c r="N58" s="3">
        <v>6813.03</v>
      </c>
      <c r="O58" t="s">
        <v>310</v>
      </c>
      <c r="P58" s="2">
        <v>-6.9999999999999999E-4</v>
      </c>
    </row>
    <row r="59" spans="1:17">
      <c r="A59" s="17"/>
      <c r="B59" s="1">
        <v>44348</v>
      </c>
      <c r="C59">
        <v>675</v>
      </c>
      <c r="D59">
        <v>638</v>
      </c>
      <c r="E59">
        <v>710</v>
      </c>
      <c r="F59">
        <v>630</v>
      </c>
      <c r="G59" t="s">
        <v>50</v>
      </c>
      <c r="H59" s="2">
        <v>6.13E-2</v>
      </c>
      <c r="J59" s="1">
        <v>44348</v>
      </c>
      <c r="K59" s="3">
        <v>7037.47</v>
      </c>
      <c r="L59" s="3">
        <v>7022.61</v>
      </c>
      <c r="M59" s="3">
        <v>7217.54</v>
      </c>
      <c r="N59" s="3">
        <v>6948.63</v>
      </c>
      <c r="O59" t="s">
        <v>311</v>
      </c>
      <c r="P59" s="2">
        <v>2.0999999999999999E-3</v>
      </c>
    </row>
    <row r="60" spans="1:17">
      <c r="A60" s="17"/>
      <c r="B60" s="1">
        <v>44317</v>
      </c>
      <c r="C60">
        <v>636</v>
      </c>
      <c r="D60">
        <v>628</v>
      </c>
      <c r="E60">
        <v>679.71</v>
      </c>
      <c r="F60">
        <v>583</v>
      </c>
      <c r="G60" t="s">
        <v>60</v>
      </c>
      <c r="H60" s="2">
        <v>1.7600000000000001E-2</v>
      </c>
      <c r="J60" s="1">
        <v>44317</v>
      </c>
      <c r="K60" s="3">
        <v>7022.61</v>
      </c>
      <c r="L60" s="3">
        <v>6969.81</v>
      </c>
      <c r="M60" s="3">
        <v>7164.18</v>
      </c>
      <c r="N60" s="3">
        <v>6823.6</v>
      </c>
      <c r="O60" t="s">
        <v>312</v>
      </c>
      <c r="P60" s="2">
        <v>7.6E-3</v>
      </c>
    </row>
    <row r="61" spans="1:17">
      <c r="A61" s="17"/>
      <c r="B61" s="1">
        <v>44287</v>
      </c>
      <c r="C61">
        <v>625</v>
      </c>
      <c r="D61">
        <v>568</v>
      </c>
      <c r="E61">
        <v>640</v>
      </c>
      <c r="F61">
        <v>551</v>
      </c>
      <c r="G61" t="s">
        <v>7</v>
      </c>
      <c r="H61" s="2">
        <v>0.1082</v>
      </c>
      <c r="J61" s="1">
        <v>44287</v>
      </c>
      <c r="K61" s="3">
        <v>6969.81</v>
      </c>
      <c r="L61" s="3">
        <v>6713.63</v>
      </c>
      <c r="M61" s="3">
        <v>7040.26</v>
      </c>
      <c r="N61" s="3">
        <v>6713.63</v>
      </c>
      <c r="O61" t="s">
        <v>313</v>
      </c>
      <c r="P61" s="2">
        <v>3.8199999999999998E-2</v>
      </c>
    </row>
    <row r="62" spans="1:17">
      <c r="A62" s="17"/>
      <c r="B62" s="1">
        <v>44256</v>
      </c>
      <c r="C62">
        <v>564</v>
      </c>
      <c r="D62">
        <v>514</v>
      </c>
      <c r="E62">
        <v>580</v>
      </c>
      <c r="F62">
        <v>500</v>
      </c>
      <c r="G62" t="s">
        <v>61</v>
      </c>
      <c r="H62" s="2">
        <v>0.1235</v>
      </c>
      <c r="J62" s="1">
        <v>44256</v>
      </c>
      <c r="K62" s="3">
        <v>6713.63</v>
      </c>
      <c r="L62" s="3">
        <v>6483.43</v>
      </c>
      <c r="M62" s="3">
        <v>6812.78</v>
      </c>
      <c r="N62" s="3">
        <v>6483.43</v>
      </c>
      <c r="O62" t="s">
        <v>314</v>
      </c>
      <c r="P62" s="2">
        <v>3.5499999999999997E-2</v>
      </c>
    </row>
    <row r="63" spans="1:17">
      <c r="A63" s="17"/>
      <c r="B63" s="1">
        <v>44228</v>
      </c>
      <c r="C63">
        <v>502</v>
      </c>
      <c r="D63">
        <v>522</v>
      </c>
      <c r="E63">
        <v>556</v>
      </c>
      <c r="F63">
        <v>482</v>
      </c>
      <c r="G63" t="s">
        <v>62</v>
      </c>
      <c r="H63" s="2">
        <v>-4.2000000000000003E-2</v>
      </c>
      <c r="J63" s="1">
        <v>44228</v>
      </c>
      <c r="K63" s="3">
        <v>6483.43</v>
      </c>
      <c r="L63" s="3">
        <v>6407.46</v>
      </c>
      <c r="M63" s="3">
        <v>6799.92</v>
      </c>
      <c r="N63" s="3">
        <v>6407.46</v>
      </c>
      <c r="O63" t="s">
        <v>315</v>
      </c>
      <c r="P63" s="2">
        <v>1.1900000000000001E-2</v>
      </c>
    </row>
    <row r="64" spans="1:17">
      <c r="A64" s="17"/>
      <c r="B64" s="1">
        <v>44197</v>
      </c>
      <c r="C64">
        <v>524</v>
      </c>
      <c r="D64">
        <v>564</v>
      </c>
      <c r="E64">
        <v>588.09</v>
      </c>
      <c r="F64">
        <v>505.28</v>
      </c>
      <c r="G64" t="s">
        <v>63</v>
      </c>
      <c r="H64" s="2">
        <v>-6.4299999999999996E-2</v>
      </c>
      <c r="I64" s="38"/>
      <c r="J64" s="1">
        <v>44197</v>
      </c>
      <c r="K64" s="3">
        <v>6407.46</v>
      </c>
      <c r="L64" s="3">
        <v>6460.52</v>
      </c>
      <c r="M64" s="3">
        <v>6903.61</v>
      </c>
      <c r="N64" s="3">
        <v>6397.24</v>
      </c>
      <c r="O64" t="s">
        <v>316</v>
      </c>
      <c r="P64" s="2">
        <v>-8.2000000000000007E-3</v>
      </c>
      <c r="Q64" s="38"/>
    </row>
    <row r="65" spans="2:17">
      <c r="B65" s="1">
        <v>44166</v>
      </c>
      <c r="C65">
        <v>560</v>
      </c>
      <c r="D65">
        <v>507.5</v>
      </c>
      <c r="E65">
        <v>570</v>
      </c>
      <c r="F65">
        <v>482.75</v>
      </c>
      <c r="G65" t="s">
        <v>132</v>
      </c>
      <c r="H65" s="2">
        <v>0.1313</v>
      </c>
      <c r="J65" s="1">
        <v>44166</v>
      </c>
      <c r="K65" s="3">
        <v>6460.52</v>
      </c>
      <c r="L65" s="3">
        <v>6266.19</v>
      </c>
      <c r="M65" s="3">
        <v>6676.6</v>
      </c>
      <c r="N65" s="3">
        <v>6263.6</v>
      </c>
      <c r="O65" t="s">
        <v>317</v>
      </c>
      <c r="P65" s="2">
        <v>3.1E-2</v>
      </c>
    </row>
    <row r="66" spans="2:17">
      <c r="B66" s="1">
        <v>44136</v>
      </c>
      <c r="C66">
        <v>495</v>
      </c>
      <c r="D66">
        <v>445.5</v>
      </c>
      <c r="E66">
        <v>516</v>
      </c>
      <c r="F66">
        <v>430</v>
      </c>
      <c r="G66" t="s">
        <v>133</v>
      </c>
      <c r="H66" s="2">
        <v>0.13789999999999999</v>
      </c>
      <c r="J66" s="1">
        <v>44136</v>
      </c>
      <c r="K66" s="3">
        <v>6266.19</v>
      </c>
      <c r="L66" s="3">
        <v>5577.27</v>
      </c>
      <c r="M66" s="3">
        <v>6468.73</v>
      </c>
      <c r="N66" s="3">
        <v>5554.73</v>
      </c>
      <c r="O66" t="s">
        <v>318</v>
      </c>
      <c r="P66" s="2">
        <v>0.1235</v>
      </c>
    </row>
    <row r="67" spans="2:17">
      <c r="B67" s="1">
        <v>44105</v>
      </c>
      <c r="C67">
        <v>435</v>
      </c>
      <c r="D67">
        <v>453.57</v>
      </c>
      <c r="E67">
        <v>494</v>
      </c>
      <c r="F67">
        <v>430</v>
      </c>
      <c r="G67" t="s">
        <v>134</v>
      </c>
      <c r="H67" s="2">
        <v>-4.3999999999999997E-2</v>
      </c>
      <c r="J67" s="1">
        <v>44105</v>
      </c>
      <c r="K67" s="3">
        <v>5577.27</v>
      </c>
      <c r="L67" s="3">
        <v>5866.1</v>
      </c>
      <c r="M67" s="3">
        <v>6040.47</v>
      </c>
      <c r="N67" s="3">
        <v>5525.52</v>
      </c>
      <c r="O67" t="s">
        <v>319</v>
      </c>
      <c r="P67" s="2">
        <v>-4.9200000000000001E-2</v>
      </c>
    </row>
    <row r="68" spans="2:17">
      <c r="B68" s="1">
        <v>44075</v>
      </c>
      <c r="C68">
        <v>455</v>
      </c>
      <c r="D68">
        <v>430</v>
      </c>
      <c r="E68">
        <v>479</v>
      </c>
      <c r="F68">
        <v>420</v>
      </c>
      <c r="G68" t="s">
        <v>135</v>
      </c>
      <c r="H68" s="2">
        <v>7.5700000000000003E-2</v>
      </c>
      <c r="J68" s="1">
        <v>44075</v>
      </c>
      <c r="K68" s="3">
        <v>5866.1</v>
      </c>
      <c r="L68" s="3">
        <v>5963.57</v>
      </c>
      <c r="M68" s="3">
        <v>6123.69</v>
      </c>
      <c r="N68" s="3">
        <v>5771.49</v>
      </c>
      <c r="O68" t="s">
        <v>320</v>
      </c>
      <c r="P68" s="2">
        <v>-1.6299999999999999E-2</v>
      </c>
    </row>
    <row r="69" spans="2:17">
      <c r="B69" s="1">
        <v>44044</v>
      </c>
      <c r="C69">
        <v>423</v>
      </c>
      <c r="D69">
        <v>420</v>
      </c>
      <c r="E69">
        <v>445</v>
      </c>
      <c r="F69">
        <v>388.51</v>
      </c>
      <c r="G69" t="s">
        <v>136</v>
      </c>
      <c r="H69" s="2">
        <v>-2.98E-2</v>
      </c>
      <c r="J69" s="1">
        <v>44044</v>
      </c>
      <c r="K69" s="3">
        <v>5963.57</v>
      </c>
      <c r="L69" s="3">
        <v>5897.76</v>
      </c>
      <c r="M69" s="3">
        <v>6297.2</v>
      </c>
      <c r="N69" s="3">
        <v>5857.06</v>
      </c>
      <c r="O69" t="s">
        <v>321</v>
      </c>
      <c r="P69" s="2">
        <v>1.12E-2</v>
      </c>
    </row>
    <row r="70" spans="2:17">
      <c r="B70" s="1">
        <v>44013</v>
      </c>
      <c r="C70">
        <v>436</v>
      </c>
      <c r="D70">
        <v>447.8</v>
      </c>
      <c r="E70">
        <v>474</v>
      </c>
      <c r="F70">
        <v>421</v>
      </c>
      <c r="G70" t="s">
        <v>137</v>
      </c>
      <c r="H70" s="2">
        <v>-1.5800000000000002E-2</v>
      </c>
      <c r="J70" s="1">
        <v>44013</v>
      </c>
      <c r="K70" s="3">
        <v>5897.76</v>
      </c>
      <c r="L70" s="3">
        <v>6169.74</v>
      </c>
      <c r="M70" s="3">
        <v>6323.55</v>
      </c>
      <c r="N70" s="3">
        <v>5897.76</v>
      </c>
      <c r="O70" t="s">
        <v>322</v>
      </c>
      <c r="P70" s="2">
        <v>-4.41E-2</v>
      </c>
    </row>
    <row r="71" spans="2:17">
      <c r="B71" s="1">
        <v>43983</v>
      </c>
      <c r="C71">
        <v>443</v>
      </c>
      <c r="D71">
        <v>474</v>
      </c>
      <c r="E71">
        <v>514</v>
      </c>
      <c r="F71">
        <v>416</v>
      </c>
      <c r="G71" t="s">
        <v>138</v>
      </c>
      <c r="H71" s="2">
        <v>-4.3200000000000002E-2</v>
      </c>
      <c r="J71" s="1">
        <v>43983</v>
      </c>
      <c r="K71" s="3">
        <v>6169.74</v>
      </c>
      <c r="L71" s="3">
        <v>6076.6</v>
      </c>
      <c r="M71" s="3">
        <v>6511.84</v>
      </c>
      <c r="N71" s="3">
        <v>5952.44</v>
      </c>
      <c r="O71" t="s">
        <v>323</v>
      </c>
      <c r="P71" s="2">
        <v>1.5299999999999999E-2</v>
      </c>
    </row>
    <row r="72" spans="2:17">
      <c r="B72" s="1">
        <v>43952</v>
      </c>
      <c r="C72">
        <v>463</v>
      </c>
      <c r="D72">
        <v>456.6</v>
      </c>
      <c r="E72">
        <v>489</v>
      </c>
      <c r="F72">
        <v>405</v>
      </c>
      <c r="G72" t="s">
        <v>139</v>
      </c>
      <c r="H72" s="2">
        <v>2.4299999999999999E-2</v>
      </c>
      <c r="J72" s="1">
        <v>43952</v>
      </c>
      <c r="K72" s="3">
        <v>6076.6</v>
      </c>
      <c r="L72" s="3">
        <v>5901.21</v>
      </c>
      <c r="M72" s="3">
        <v>6234.04</v>
      </c>
      <c r="N72" s="3">
        <v>5661.14</v>
      </c>
      <c r="O72" t="s">
        <v>324</v>
      </c>
      <c r="P72" s="2">
        <v>2.9700000000000001E-2</v>
      </c>
    </row>
    <row r="73" spans="2:17">
      <c r="B73" s="1">
        <v>43922</v>
      </c>
      <c r="C73">
        <v>452</v>
      </c>
      <c r="D73">
        <v>370</v>
      </c>
      <c r="E73">
        <v>478</v>
      </c>
      <c r="F73">
        <v>346</v>
      </c>
      <c r="G73" t="s">
        <v>140</v>
      </c>
      <c r="H73" s="2">
        <v>0.2021</v>
      </c>
      <c r="J73" s="1">
        <v>43922</v>
      </c>
      <c r="K73" s="3">
        <v>5901.21</v>
      </c>
      <c r="L73" s="3">
        <v>5671.96</v>
      </c>
      <c r="M73" s="3">
        <v>6151.58</v>
      </c>
      <c r="N73" s="3">
        <v>5395.07</v>
      </c>
      <c r="O73" t="s">
        <v>325</v>
      </c>
      <c r="P73" s="2">
        <v>4.0399999999999998E-2</v>
      </c>
    </row>
    <row r="74" spans="2:17">
      <c r="B74" s="1">
        <v>43891</v>
      </c>
      <c r="C74">
        <v>376</v>
      </c>
      <c r="D74">
        <v>493</v>
      </c>
      <c r="E74">
        <v>530</v>
      </c>
      <c r="F74">
        <v>304</v>
      </c>
      <c r="G74" t="s">
        <v>141</v>
      </c>
      <c r="H74" s="2">
        <v>-0.2389</v>
      </c>
      <c r="J74" s="1">
        <v>43891</v>
      </c>
      <c r="K74" s="3">
        <v>5671.96</v>
      </c>
      <c r="L74" s="3">
        <v>6580.61</v>
      </c>
      <c r="M74" s="3">
        <v>6856.27</v>
      </c>
      <c r="N74" s="3">
        <v>4898.79</v>
      </c>
      <c r="O74" t="s">
        <v>326</v>
      </c>
      <c r="P74" s="2">
        <v>-0.1381</v>
      </c>
    </row>
    <row r="75" spans="2:17">
      <c r="B75" s="1">
        <v>43862</v>
      </c>
      <c r="C75">
        <v>494</v>
      </c>
      <c r="D75">
        <v>504</v>
      </c>
      <c r="E75">
        <v>570</v>
      </c>
      <c r="F75">
        <v>480.13</v>
      </c>
      <c r="G75" t="s">
        <v>21</v>
      </c>
      <c r="H75" s="2">
        <v>-1.2E-2</v>
      </c>
      <c r="J75" s="1">
        <v>43862</v>
      </c>
      <c r="K75" s="3">
        <v>6580.61</v>
      </c>
      <c r="L75" s="3">
        <v>7286.01</v>
      </c>
      <c r="M75" s="3">
        <v>7547.65</v>
      </c>
      <c r="N75" s="3">
        <v>6460.08</v>
      </c>
      <c r="O75" t="s">
        <v>274</v>
      </c>
      <c r="P75" s="2">
        <v>-9.6799999999999997E-2</v>
      </c>
    </row>
    <row r="76" spans="2:17">
      <c r="B76" s="1">
        <v>43831</v>
      </c>
      <c r="C76">
        <v>500</v>
      </c>
      <c r="D76">
        <v>546</v>
      </c>
      <c r="E76">
        <v>568</v>
      </c>
      <c r="F76">
        <v>487</v>
      </c>
      <c r="G76" t="s">
        <v>142</v>
      </c>
      <c r="H76" s="2">
        <v>-8.4199999999999997E-2</v>
      </c>
      <c r="I76" s="38"/>
      <c r="J76" s="1">
        <v>43831</v>
      </c>
      <c r="K76" s="3">
        <v>7286.01</v>
      </c>
      <c r="L76" s="3">
        <v>7542.44</v>
      </c>
      <c r="M76" s="3">
        <v>7689.67</v>
      </c>
      <c r="N76" s="3">
        <v>7275.03</v>
      </c>
      <c r="O76" t="s">
        <v>327</v>
      </c>
      <c r="P76" s="2">
        <v>-3.4000000000000002E-2</v>
      </c>
      <c r="Q76" s="38"/>
    </row>
    <row r="77" spans="2:17">
      <c r="B77" s="1">
        <v>43800</v>
      </c>
      <c r="C77">
        <v>546</v>
      </c>
      <c r="D77">
        <v>390</v>
      </c>
      <c r="E77">
        <v>560</v>
      </c>
      <c r="F77">
        <v>390</v>
      </c>
      <c r="G77" t="s">
        <v>143</v>
      </c>
      <c r="H77" s="2">
        <v>0.4</v>
      </c>
      <c r="J77" s="1">
        <v>43800</v>
      </c>
      <c r="K77" s="3">
        <v>7542.44</v>
      </c>
      <c r="L77" s="3">
        <v>7346.53</v>
      </c>
      <c r="M77" s="3">
        <v>7665.4</v>
      </c>
      <c r="N77" s="3">
        <v>7131.16</v>
      </c>
      <c r="O77" t="s">
        <v>328</v>
      </c>
      <c r="P77" s="2">
        <v>2.6700000000000002E-2</v>
      </c>
    </row>
    <row r="78" spans="2:17">
      <c r="B78" s="1">
        <v>43770</v>
      </c>
      <c r="C78">
        <v>390</v>
      </c>
      <c r="D78">
        <v>377</v>
      </c>
      <c r="E78">
        <v>420</v>
      </c>
      <c r="F78">
        <v>375</v>
      </c>
      <c r="G78" t="s">
        <v>144</v>
      </c>
      <c r="H78" s="2">
        <v>1.83E-2</v>
      </c>
      <c r="J78" s="1">
        <v>43770</v>
      </c>
      <c r="K78" s="3">
        <v>7346.53</v>
      </c>
      <c r="L78" s="3">
        <v>7248.38</v>
      </c>
      <c r="M78" s="3">
        <v>7446</v>
      </c>
      <c r="N78" s="3">
        <v>7197.33</v>
      </c>
      <c r="O78" t="s">
        <v>329</v>
      </c>
      <c r="P78" s="2">
        <v>1.35E-2</v>
      </c>
    </row>
    <row r="79" spans="2:17">
      <c r="B79" s="1">
        <v>43739</v>
      </c>
      <c r="C79">
        <v>383</v>
      </c>
      <c r="D79">
        <v>393</v>
      </c>
      <c r="E79">
        <v>399</v>
      </c>
      <c r="F79">
        <v>359.6</v>
      </c>
      <c r="G79" t="s">
        <v>145</v>
      </c>
      <c r="H79" s="2">
        <v>-5.1999999999999998E-3</v>
      </c>
      <c r="J79" s="1">
        <v>43739</v>
      </c>
      <c r="K79" s="3">
        <v>7248.38</v>
      </c>
      <c r="L79" s="3">
        <v>7408.21</v>
      </c>
      <c r="M79" s="3">
        <v>7433.24</v>
      </c>
      <c r="N79" s="3">
        <v>7004.43</v>
      </c>
      <c r="O79" t="s">
        <v>330</v>
      </c>
      <c r="P79" s="2">
        <v>-2.1600000000000001E-2</v>
      </c>
    </row>
    <row r="80" spans="2:17">
      <c r="B80" s="1">
        <v>43709</v>
      </c>
      <c r="C80">
        <v>385</v>
      </c>
      <c r="D80">
        <v>389</v>
      </c>
      <c r="E80">
        <v>400</v>
      </c>
      <c r="F80">
        <v>376</v>
      </c>
      <c r="G80" t="s">
        <v>146</v>
      </c>
      <c r="H80" s="2">
        <v>-3.8999999999999998E-3</v>
      </c>
      <c r="J80" s="1">
        <v>43709</v>
      </c>
      <c r="K80" s="3">
        <v>7408.21</v>
      </c>
      <c r="L80" s="3">
        <v>7207.18</v>
      </c>
      <c r="M80" s="3">
        <v>7440.77</v>
      </c>
      <c r="N80" s="3">
        <v>7199.4</v>
      </c>
      <c r="O80" t="s">
        <v>331</v>
      </c>
      <c r="P80" s="2">
        <v>2.7900000000000001E-2</v>
      </c>
    </row>
    <row r="81" spans="2:19">
      <c r="B81" s="1">
        <v>43678</v>
      </c>
      <c r="C81">
        <v>386.5</v>
      </c>
      <c r="D81">
        <v>402.1</v>
      </c>
      <c r="E81">
        <v>409</v>
      </c>
      <c r="F81">
        <v>376</v>
      </c>
      <c r="G81" t="s">
        <v>139</v>
      </c>
      <c r="H81" s="2">
        <v>-3.3799999999999997E-2</v>
      </c>
      <c r="J81" s="1">
        <v>43678</v>
      </c>
      <c r="K81" s="3">
        <v>7207.18</v>
      </c>
      <c r="L81" s="3">
        <v>7586.78</v>
      </c>
      <c r="M81" s="3">
        <v>7609.98</v>
      </c>
      <c r="N81" s="3">
        <v>7020.22</v>
      </c>
      <c r="O81" t="s">
        <v>332</v>
      </c>
      <c r="P81" s="2">
        <v>-0.05</v>
      </c>
    </row>
    <row r="82" spans="2:19">
      <c r="B82" s="1">
        <v>43647</v>
      </c>
      <c r="C82">
        <v>400</v>
      </c>
      <c r="D82">
        <v>416.9</v>
      </c>
      <c r="E82">
        <v>420</v>
      </c>
      <c r="F82">
        <v>375.1</v>
      </c>
      <c r="G82" t="s">
        <v>139</v>
      </c>
      <c r="H82" s="2">
        <v>-3.61E-2</v>
      </c>
      <c r="J82" s="1">
        <v>43647</v>
      </c>
      <c r="K82" s="3">
        <v>7586.78</v>
      </c>
      <c r="L82" s="3">
        <v>7425.63</v>
      </c>
      <c r="M82" s="3">
        <v>7727.49</v>
      </c>
      <c r="N82" s="3">
        <v>7425.63</v>
      </c>
      <c r="O82" t="s">
        <v>333</v>
      </c>
      <c r="P82" s="2">
        <v>2.1700000000000001E-2</v>
      </c>
    </row>
    <row r="83" spans="2:19">
      <c r="B83" s="1">
        <v>43617</v>
      </c>
      <c r="C83">
        <v>415</v>
      </c>
      <c r="D83">
        <v>427</v>
      </c>
      <c r="E83">
        <v>435</v>
      </c>
      <c r="F83">
        <v>400</v>
      </c>
      <c r="G83" t="s">
        <v>147</v>
      </c>
      <c r="H83" s="2">
        <v>-3.49E-2</v>
      </c>
      <c r="J83" s="1">
        <v>43617</v>
      </c>
      <c r="K83" s="3">
        <v>7425.63</v>
      </c>
      <c r="L83" s="3">
        <v>7161.71</v>
      </c>
      <c r="M83" s="3">
        <v>7469.19</v>
      </c>
      <c r="N83" s="3">
        <v>7079.71</v>
      </c>
      <c r="O83" t="s">
        <v>334</v>
      </c>
      <c r="P83" s="2">
        <v>3.6900000000000002E-2</v>
      </c>
    </row>
    <row r="84" spans="2:19">
      <c r="B84" s="1">
        <v>43586</v>
      </c>
      <c r="C84">
        <v>430</v>
      </c>
      <c r="D84">
        <v>391</v>
      </c>
      <c r="E84">
        <v>439</v>
      </c>
      <c r="F84">
        <v>388.6</v>
      </c>
      <c r="G84" t="s">
        <v>148</v>
      </c>
      <c r="H84" s="2">
        <v>0.1012</v>
      </c>
      <c r="J84" s="1">
        <v>43586</v>
      </c>
      <c r="K84" s="3">
        <v>7161.71</v>
      </c>
      <c r="L84" s="3">
        <v>7418.22</v>
      </c>
      <c r="M84" s="3">
        <v>7446.46</v>
      </c>
      <c r="N84" s="3">
        <v>7130.85</v>
      </c>
      <c r="O84" t="s">
        <v>335</v>
      </c>
      <c r="P84" s="2">
        <v>-3.4599999999999999E-2</v>
      </c>
    </row>
    <row r="85" spans="2:19">
      <c r="B85" s="1">
        <v>43556</v>
      </c>
      <c r="C85">
        <v>390.5</v>
      </c>
      <c r="D85">
        <v>395</v>
      </c>
      <c r="E85">
        <v>410</v>
      </c>
      <c r="F85">
        <v>386</v>
      </c>
      <c r="G85" t="s">
        <v>149</v>
      </c>
      <c r="H85" s="2">
        <v>-2.86E-2</v>
      </c>
      <c r="J85" s="1">
        <v>43556</v>
      </c>
      <c r="K85" s="3">
        <v>7418.22</v>
      </c>
      <c r="L85" s="3">
        <v>7279.19</v>
      </c>
      <c r="M85" s="3">
        <v>7528.93</v>
      </c>
      <c r="N85" s="3">
        <v>7279.19</v>
      </c>
      <c r="O85" t="s">
        <v>336</v>
      </c>
      <c r="P85" s="2">
        <v>1.9099999999999999E-2</v>
      </c>
    </row>
    <row r="86" spans="2:19">
      <c r="B86" s="1">
        <v>43525</v>
      </c>
      <c r="C86">
        <v>402</v>
      </c>
      <c r="D86">
        <v>386.1</v>
      </c>
      <c r="E86">
        <v>410</v>
      </c>
      <c r="F86">
        <v>376</v>
      </c>
      <c r="G86" t="s">
        <v>146</v>
      </c>
      <c r="H86" s="2">
        <v>6.6299999999999998E-2</v>
      </c>
      <c r="J86" s="1">
        <v>43525</v>
      </c>
      <c r="K86" s="3">
        <v>7279.19</v>
      </c>
      <c r="L86" s="3">
        <v>7074.73</v>
      </c>
      <c r="M86" s="3">
        <v>7370.61</v>
      </c>
      <c r="N86" s="3">
        <v>7074.73</v>
      </c>
      <c r="O86" t="s">
        <v>337</v>
      </c>
      <c r="P86" s="2">
        <v>2.8899999999999999E-2</v>
      </c>
    </row>
    <row r="87" spans="2:19">
      <c r="B87" s="1">
        <v>43497</v>
      </c>
      <c r="C87">
        <v>377</v>
      </c>
      <c r="D87">
        <v>368</v>
      </c>
      <c r="E87">
        <v>397</v>
      </c>
      <c r="F87">
        <v>366</v>
      </c>
      <c r="G87" t="s">
        <v>150</v>
      </c>
      <c r="H87" s="2">
        <v>2.1700000000000001E-2</v>
      </c>
      <c r="J87" s="1">
        <v>43497</v>
      </c>
      <c r="K87" s="3">
        <v>7074.73</v>
      </c>
      <c r="L87" s="3">
        <v>6968.85</v>
      </c>
      <c r="M87" s="3">
        <v>7261.63</v>
      </c>
      <c r="N87" s="3">
        <v>6968.85</v>
      </c>
      <c r="O87" t="s">
        <v>338</v>
      </c>
      <c r="P87" s="2">
        <v>1.52E-2</v>
      </c>
    </row>
    <row r="88" spans="2:19">
      <c r="B88" s="1">
        <v>43466</v>
      </c>
      <c r="C88">
        <v>369</v>
      </c>
      <c r="D88">
        <v>330</v>
      </c>
      <c r="E88">
        <v>379</v>
      </c>
      <c r="F88">
        <v>330</v>
      </c>
      <c r="G88" t="s">
        <v>151</v>
      </c>
      <c r="H88" s="2">
        <v>8.6900000000000005E-2</v>
      </c>
      <c r="J88" s="1">
        <v>43466</v>
      </c>
      <c r="K88" s="3">
        <v>6968.85</v>
      </c>
      <c r="L88" s="3">
        <v>6728.13</v>
      </c>
      <c r="M88" s="3">
        <v>7001.94</v>
      </c>
      <c r="N88" s="3">
        <v>6599.48</v>
      </c>
      <c r="O88" t="s">
        <v>339</v>
      </c>
      <c r="P88" s="2">
        <v>3.5799999999999998E-2</v>
      </c>
    </row>
    <row r="89" spans="2:19">
      <c r="B89" s="3"/>
    </row>
    <row r="91" spans="2:19">
      <c r="C91" s="2"/>
      <c r="J91" s="5"/>
      <c r="K91" s="5"/>
      <c r="L91" s="5"/>
      <c r="M91" s="5"/>
      <c r="N91" s="5"/>
      <c r="O91" s="5"/>
      <c r="P91" s="5"/>
    </row>
    <row r="92" spans="2:19" s="5" customFormat="1">
      <c r="R92"/>
      <c r="S92"/>
    </row>
    <row r="93" spans="2:19" s="5" customFormat="1">
      <c r="J93"/>
      <c r="K93"/>
      <c r="L93"/>
      <c r="M93"/>
      <c r="N93"/>
      <c r="O93"/>
      <c r="P93"/>
      <c r="R93"/>
      <c r="S93"/>
    </row>
    <row r="94" spans="2:19">
      <c r="R94" s="5"/>
      <c r="S94" s="5"/>
    </row>
    <row r="95" spans="2:19">
      <c r="R95" s="5"/>
      <c r="S95" s="5"/>
    </row>
  </sheetData>
  <mergeCells count="2">
    <mergeCell ref="B2:H2"/>
    <mergeCell ref="J2:P2"/>
  </mergeCells>
  <hyperlinks>
    <hyperlink ref="A1" location="Main!A1" display="Main" xr:uid="{41877205-2335-F040-A61D-C992889343D1}"/>
  </hyperlink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6EAA-429D-7944-84A1-E0234B2B235F}">
  <dimension ref="A1:E88"/>
  <sheetViews>
    <sheetView zoomScale="125" workbookViewId="0">
      <selection activeCell="B12" sqref="B12"/>
    </sheetView>
  </sheetViews>
  <sheetFormatPr baseColWidth="10" defaultRowHeight="13"/>
  <cols>
    <col min="2" max="2" width="20.33203125" bestFit="1" customWidth="1"/>
    <col min="3" max="3" width="10.83203125" style="73"/>
  </cols>
  <sheetData>
    <row r="1" spans="1:5">
      <c r="A1" s="32" t="s">
        <v>114</v>
      </c>
    </row>
    <row r="2" spans="1:5">
      <c r="B2" s="92" t="s">
        <v>450</v>
      </c>
      <c r="C2" s="93"/>
      <c r="D2" s="94"/>
    </row>
    <row r="3" spans="1:5">
      <c r="B3" s="70" t="s">
        <v>431</v>
      </c>
      <c r="C3" s="71" t="s">
        <v>432</v>
      </c>
      <c r="D3" s="70"/>
      <c r="E3" s="70"/>
    </row>
    <row r="4" spans="1:5">
      <c r="B4" s="68" t="s">
        <v>346</v>
      </c>
      <c r="C4" s="72">
        <v>4.0000000000000001E-3</v>
      </c>
      <c r="D4" s="74" t="s">
        <v>433</v>
      </c>
      <c r="E4" s="69"/>
    </row>
    <row r="5" spans="1:5">
      <c r="B5" s="68" t="s">
        <v>347</v>
      </c>
      <c r="C5" s="72">
        <v>4.0000000000000001E-3</v>
      </c>
      <c r="D5" s="69"/>
      <c r="E5" s="69"/>
    </row>
    <row r="6" spans="1:5">
      <c r="B6" s="68" t="s">
        <v>348</v>
      </c>
      <c r="C6" s="72">
        <v>-2E-3</v>
      </c>
      <c r="D6" s="69"/>
      <c r="E6" s="69"/>
    </row>
    <row r="7" spans="1:5">
      <c r="B7" s="68" t="s">
        <v>349</v>
      </c>
      <c r="C7" s="72">
        <v>4.0000000000000001E-3</v>
      </c>
      <c r="D7" s="69"/>
      <c r="E7" s="69"/>
    </row>
    <row r="8" spans="1:5">
      <c r="B8" s="68" t="s">
        <v>350</v>
      </c>
      <c r="C8" s="72">
        <v>0</v>
      </c>
      <c r="D8" s="68"/>
      <c r="E8" s="69"/>
    </row>
    <row r="9" spans="1:5">
      <c r="B9" s="68" t="s">
        <v>351</v>
      </c>
      <c r="C9" s="72">
        <v>3.0000000000000001E-3</v>
      </c>
      <c r="D9" s="69"/>
      <c r="E9" s="69"/>
    </row>
    <row r="10" spans="1:5">
      <c r="B10" s="68" t="s">
        <v>352</v>
      </c>
      <c r="C10" s="72">
        <v>1E-3</v>
      </c>
      <c r="D10" s="69"/>
      <c r="E10" s="69"/>
    </row>
    <row r="11" spans="1:5">
      <c r="B11" s="68" t="s">
        <v>353</v>
      </c>
      <c r="C11" s="72">
        <v>3.0000000000000001E-3</v>
      </c>
      <c r="D11" s="69"/>
      <c r="E11" s="69"/>
    </row>
    <row r="12" spans="1:5">
      <c r="B12" s="68" t="s">
        <v>354</v>
      </c>
      <c r="C12" s="72">
        <v>2E-3</v>
      </c>
      <c r="D12" s="69"/>
      <c r="E12" s="69"/>
    </row>
    <row r="13" spans="1:5">
      <c r="B13" s="68" t="s">
        <v>355</v>
      </c>
      <c r="C13" s="72">
        <v>1.2E-2</v>
      </c>
      <c r="D13" s="69"/>
      <c r="E13" s="69"/>
    </row>
    <row r="14" spans="1:5">
      <c r="B14" s="68" t="s">
        <v>356</v>
      </c>
      <c r="C14" s="72">
        <v>3.0000000000000001E-3</v>
      </c>
      <c r="D14" s="69"/>
      <c r="E14" s="69"/>
    </row>
    <row r="15" spans="1:5">
      <c r="B15" s="68" t="s">
        <v>357</v>
      </c>
      <c r="C15" s="72">
        <v>4.0000000000000001E-3</v>
      </c>
      <c r="D15" s="69"/>
      <c r="E15" s="69"/>
    </row>
    <row r="16" spans="1:5">
      <c r="B16" s="68" t="s">
        <v>358</v>
      </c>
      <c r="C16" s="72">
        <v>-1E-3</v>
      </c>
      <c r="D16" s="69"/>
      <c r="E16" s="69"/>
    </row>
    <row r="17" spans="2:5">
      <c r="B17" s="68" t="s">
        <v>359</v>
      </c>
      <c r="C17" s="72">
        <v>3.0000000000000001E-3</v>
      </c>
      <c r="D17" s="69"/>
      <c r="E17" s="69"/>
    </row>
    <row r="18" spans="2:5">
      <c r="B18" s="68" t="s">
        <v>360</v>
      </c>
      <c r="C18" s="72">
        <v>1E-3</v>
      </c>
      <c r="D18" s="69"/>
      <c r="E18" s="69"/>
    </row>
    <row r="19" spans="2:5">
      <c r="B19" s="68" t="s">
        <v>361</v>
      </c>
      <c r="C19" s="72">
        <v>6.0000000000000001E-3</v>
      </c>
      <c r="D19" s="68"/>
      <c r="E19" s="69"/>
    </row>
    <row r="20" spans="2:5">
      <c r="B20" s="68" t="s">
        <v>362</v>
      </c>
      <c r="C20" s="72">
        <v>0</v>
      </c>
      <c r="D20" s="69"/>
      <c r="E20" s="69"/>
    </row>
    <row r="21" spans="2:5">
      <c r="B21" s="68" t="s">
        <v>363</v>
      </c>
      <c r="C21" s="72">
        <v>3.0000000000000001E-3</v>
      </c>
      <c r="D21" s="69"/>
      <c r="E21" s="69"/>
    </row>
    <row r="22" spans="2:5">
      <c r="B22" s="68" t="s">
        <v>364</v>
      </c>
      <c r="C22" s="72">
        <v>-2E-3</v>
      </c>
      <c r="D22" s="68"/>
      <c r="E22" s="69"/>
    </row>
    <row r="23" spans="2:5">
      <c r="B23" s="68" t="s">
        <v>365</v>
      </c>
      <c r="C23" s="72">
        <v>1E-3</v>
      </c>
      <c r="D23" s="69"/>
      <c r="E23" s="69"/>
    </row>
    <row r="24" spans="2:5">
      <c r="B24" s="68" t="s">
        <v>366</v>
      </c>
      <c r="C24" s="72">
        <v>3.0000000000000001E-3</v>
      </c>
      <c r="D24" s="69"/>
      <c r="E24" s="69"/>
    </row>
    <row r="25" spans="2:5">
      <c r="B25" s="68" t="s">
        <v>367</v>
      </c>
      <c r="C25" s="72">
        <v>3.0000000000000001E-3</v>
      </c>
      <c r="D25" s="69"/>
      <c r="E25" s="69"/>
    </row>
    <row r="26" spans="2:5">
      <c r="B26" s="68" t="s">
        <v>368</v>
      </c>
      <c r="C26" s="72">
        <v>6.0000000000000001E-3</v>
      </c>
      <c r="D26" s="68"/>
      <c r="E26" s="69"/>
    </row>
    <row r="27" spans="2:5">
      <c r="B27" s="68" t="s">
        <v>369</v>
      </c>
      <c r="C27" s="72">
        <v>6.0000000000000001E-3</v>
      </c>
      <c r="D27" s="69"/>
      <c r="E27" s="69"/>
    </row>
    <row r="28" spans="2:5">
      <c r="B28" s="68" t="s">
        <v>370</v>
      </c>
      <c r="C28" s="72">
        <v>-6.0000000000000001E-3</v>
      </c>
      <c r="D28" s="69"/>
      <c r="E28" s="69"/>
    </row>
    <row r="29" spans="2:5">
      <c r="B29" s="68" t="s">
        <v>371</v>
      </c>
      <c r="C29" s="72">
        <v>4.0000000000000001E-3</v>
      </c>
      <c r="D29" s="69"/>
      <c r="E29" s="69"/>
    </row>
    <row r="30" spans="2:5">
      <c r="B30" s="68" t="s">
        <v>372</v>
      </c>
      <c r="C30" s="72">
        <v>-2E-3</v>
      </c>
      <c r="D30" s="69"/>
      <c r="E30" s="69"/>
    </row>
    <row r="31" spans="2:5">
      <c r="B31" s="68" t="s">
        <v>373</v>
      </c>
      <c r="C31" s="72">
        <v>0</v>
      </c>
      <c r="D31" s="69"/>
      <c r="E31" s="69"/>
    </row>
    <row r="32" spans="2:5">
      <c r="B32" s="68" t="s">
        <v>374</v>
      </c>
      <c r="C32" s="72">
        <v>5.0000000000000001E-3</v>
      </c>
      <c r="D32" s="69"/>
      <c r="E32" s="69"/>
    </row>
    <row r="33" spans="2:5">
      <c r="B33" s="68" t="s">
        <v>375</v>
      </c>
      <c r="C33" s="72">
        <v>3.0000000000000001E-3</v>
      </c>
      <c r="D33" s="69"/>
      <c r="E33" s="69"/>
    </row>
    <row r="34" spans="2:5">
      <c r="B34" s="68" t="s">
        <v>376</v>
      </c>
      <c r="C34" s="72">
        <v>-4.0000000000000001E-3</v>
      </c>
      <c r="D34" s="69"/>
      <c r="E34" s="69"/>
    </row>
    <row r="35" spans="2:5">
      <c r="B35" s="68" t="s">
        <v>377</v>
      </c>
      <c r="C35" s="72">
        <v>1E-3</v>
      </c>
      <c r="D35" s="69"/>
      <c r="E35" s="69"/>
    </row>
    <row r="36" spans="2:5">
      <c r="B36" s="68" t="s">
        <v>378</v>
      </c>
      <c r="C36" s="72">
        <v>7.0000000000000001E-3</v>
      </c>
      <c r="D36" s="69"/>
      <c r="E36" s="69"/>
    </row>
    <row r="37" spans="2:5">
      <c r="B37" s="68" t="s">
        <v>379</v>
      </c>
      <c r="C37" s="72">
        <v>1.2E-2</v>
      </c>
      <c r="D37" s="69"/>
      <c r="E37" s="69"/>
    </row>
    <row r="38" spans="2:5">
      <c r="B38" s="68" t="s">
        <v>380</v>
      </c>
      <c r="C38" s="72">
        <v>8.0000000000000002E-3</v>
      </c>
      <c r="D38" s="69"/>
      <c r="E38" s="69"/>
    </row>
    <row r="39" spans="2:5">
      <c r="B39" s="68" t="s">
        <v>381</v>
      </c>
      <c r="C39" s="72">
        <v>1.0999999999999999E-2</v>
      </c>
      <c r="D39" s="69"/>
      <c r="E39" s="69"/>
    </row>
    <row r="40" spans="2:5">
      <c r="B40" s="68" t="s">
        <v>382</v>
      </c>
      <c r="C40" s="72">
        <v>-6.0000000000000001E-3</v>
      </c>
      <c r="D40" s="69"/>
      <c r="E40" s="69"/>
    </row>
    <row r="41" spans="2:5">
      <c r="B41" s="68" t="s">
        <v>383</v>
      </c>
      <c r="C41" s="72">
        <v>4.0000000000000001E-3</v>
      </c>
      <c r="D41" s="69"/>
      <c r="E41" s="69"/>
    </row>
    <row r="42" spans="2:5">
      <c r="B42" s="68" t="s">
        <v>384</v>
      </c>
      <c r="C42" s="72">
        <v>4.0000000000000001E-3</v>
      </c>
      <c r="D42" s="69"/>
      <c r="E42" s="69"/>
    </row>
    <row r="43" spans="2:5">
      <c r="B43" s="68" t="s">
        <v>385</v>
      </c>
      <c r="C43" s="72">
        <v>0.02</v>
      </c>
      <c r="D43" s="69"/>
      <c r="E43" s="69"/>
    </row>
    <row r="44" spans="2:5">
      <c r="B44" s="68" t="s">
        <v>386</v>
      </c>
      <c r="C44" s="72">
        <v>5.0000000000000001E-3</v>
      </c>
      <c r="D44" s="69"/>
      <c r="E44" s="69"/>
    </row>
    <row r="45" spans="2:5">
      <c r="B45" s="68" t="s">
        <v>387</v>
      </c>
      <c r="C45" s="72">
        <v>5.0000000000000001E-3</v>
      </c>
      <c r="D45" s="69"/>
      <c r="E45" s="69"/>
    </row>
    <row r="46" spans="2:5">
      <c r="B46" s="68" t="s">
        <v>388</v>
      </c>
      <c r="C46" s="72">
        <v>6.0000000000000001E-3</v>
      </c>
      <c r="D46" s="69"/>
      <c r="E46" s="69"/>
    </row>
    <row r="47" spans="2:5">
      <c r="B47" s="68" t="s">
        <v>389</v>
      </c>
      <c r="C47" s="72">
        <v>8.0000000000000002E-3</v>
      </c>
      <c r="D47" s="69"/>
      <c r="E47" s="69"/>
    </row>
    <row r="48" spans="2:5">
      <c r="B48" s="68" t="s">
        <v>390</v>
      </c>
      <c r="C48" s="72">
        <v>7.0000000000000001E-3</v>
      </c>
      <c r="D48" s="69"/>
      <c r="E48" s="69"/>
    </row>
    <row r="49" spans="2:5">
      <c r="B49" s="68" t="s">
        <v>391</v>
      </c>
      <c r="C49" s="72">
        <v>2.5000000000000001E-2</v>
      </c>
      <c r="D49" s="69"/>
      <c r="E49" s="69"/>
    </row>
    <row r="50" spans="2:5">
      <c r="B50" s="68" t="s">
        <v>392</v>
      </c>
      <c r="C50" s="72">
        <v>1.0999999999999999E-2</v>
      </c>
      <c r="D50" s="69"/>
      <c r="E50" s="69"/>
    </row>
    <row r="51" spans="2:5">
      <c r="B51" s="68" t="s">
        <v>393</v>
      </c>
      <c r="C51" s="72">
        <v>8.0000000000000002E-3</v>
      </c>
      <c r="D51" s="69"/>
      <c r="E51" s="69"/>
    </row>
    <row r="52" spans="2:5">
      <c r="B52" s="68" t="s">
        <v>394</v>
      </c>
      <c r="C52" s="72">
        <v>-1E-3</v>
      </c>
      <c r="D52" s="69"/>
      <c r="E52" s="69"/>
    </row>
    <row r="53" spans="2:5">
      <c r="B53" s="68" t="s">
        <v>395</v>
      </c>
      <c r="C53" s="72">
        <v>5.0000000000000001E-3</v>
      </c>
      <c r="D53" s="69"/>
      <c r="E53" s="69"/>
    </row>
    <row r="54" spans="2:5">
      <c r="B54" s="68" t="s">
        <v>396</v>
      </c>
      <c r="C54" s="72">
        <v>7.0000000000000001E-3</v>
      </c>
      <c r="D54" s="69"/>
      <c r="E54" s="69"/>
    </row>
    <row r="55" spans="2:5">
      <c r="B55" s="68" t="s">
        <v>397</v>
      </c>
      <c r="C55" s="72">
        <v>1.0999999999999999E-2</v>
      </c>
      <c r="D55" s="69"/>
      <c r="E55" s="69"/>
    </row>
    <row r="56" spans="2:5">
      <c r="B56" s="68" t="s">
        <v>398</v>
      </c>
      <c r="C56" s="72">
        <v>3.0000000000000001E-3</v>
      </c>
      <c r="D56" s="69"/>
      <c r="E56" s="69"/>
    </row>
    <row r="57" spans="2:5">
      <c r="B57" s="68" t="s">
        <v>399</v>
      </c>
      <c r="C57" s="72">
        <v>7.0000000000000001E-3</v>
      </c>
      <c r="D57" s="69"/>
      <c r="E57" s="69"/>
    </row>
    <row r="58" spans="2:5">
      <c r="B58" s="68" t="s">
        <v>400</v>
      </c>
      <c r="C58" s="72">
        <v>0</v>
      </c>
      <c r="D58" s="69"/>
      <c r="E58" s="69"/>
    </row>
    <row r="59" spans="2:5">
      <c r="B59" s="68" t="s">
        <v>401</v>
      </c>
      <c r="C59" s="72">
        <v>5.0000000000000001E-3</v>
      </c>
      <c r="D59" s="69"/>
      <c r="E59" s="69"/>
    </row>
    <row r="60" spans="2:5">
      <c r="B60" s="68" t="s">
        <v>402</v>
      </c>
      <c r="C60" s="72">
        <v>6.0000000000000001E-3</v>
      </c>
      <c r="D60" s="69"/>
      <c r="E60" s="69"/>
    </row>
    <row r="61" spans="2:5">
      <c r="B61" s="68" t="s">
        <v>403</v>
      </c>
      <c r="C61" s="72">
        <v>6.0000000000000001E-3</v>
      </c>
      <c r="D61" s="69"/>
      <c r="E61" s="69"/>
    </row>
    <row r="62" spans="2:5">
      <c r="B62" s="68" t="s">
        <v>404</v>
      </c>
      <c r="C62" s="72">
        <v>3.0000000000000001E-3</v>
      </c>
      <c r="D62" s="69"/>
      <c r="E62" s="69"/>
    </row>
    <row r="63" spans="2:5">
      <c r="B63" s="68" t="s">
        <v>405</v>
      </c>
      <c r="C63" s="72">
        <v>1E-3</v>
      </c>
      <c r="D63" s="69"/>
      <c r="E63" s="69"/>
    </row>
    <row r="64" spans="2:5">
      <c r="B64" s="68" t="s">
        <v>406</v>
      </c>
      <c r="C64" s="72">
        <v>-2E-3</v>
      </c>
      <c r="D64" s="69"/>
      <c r="E64" s="69"/>
    </row>
    <row r="65" spans="2:5">
      <c r="B65" s="68" t="s">
        <v>407</v>
      </c>
      <c r="C65" s="72">
        <v>3.0000000000000001E-3</v>
      </c>
      <c r="D65" s="69"/>
      <c r="E65" s="69"/>
    </row>
    <row r="66" spans="2:5">
      <c r="B66" s="68" t="s">
        <v>408</v>
      </c>
      <c r="C66" s="72">
        <v>-1E-3</v>
      </c>
      <c r="D66" s="69"/>
      <c r="E66" s="69"/>
    </row>
    <row r="67" spans="2:5">
      <c r="B67" s="68" t="s">
        <v>409</v>
      </c>
      <c r="C67" s="72">
        <v>0</v>
      </c>
      <c r="D67" s="69"/>
      <c r="E67" s="69"/>
    </row>
    <row r="68" spans="2:5">
      <c r="B68" s="68" t="s">
        <v>410</v>
      </c>
      <c r="C68" s="72">
        <v>4.0000000000000001E-3</v>
      </c>
      <c r="D68" s="69"/>
      <c r="E68" s="69"/>
    </row>
    <row r="69" spans="2:5">
      <c r="B69" s="68" t="s">
        <v>411</v>
      </c>
      <c r="C69" s="72">
        <v>-4.0000000000000001E-3</v>
      </c>
      <c r="D69" s="69"/>
      <c r="E69" s="69"/>
    </row>
    <row r="70" spans="2:5">
      <c r="B70" s="68" t="s">
        <v>412</v>
      </c>
      <c r="C70" s="72">
        <v>4.0000000000000001E-3</v>
      </c>
      <c r="D70" s="69"/>
      <c r="E70" s="69"/>
    </row>
    <row r="71" spans="2:5">
      <c r="B71" s="68" t="s">
        <v>413</v>
      </c>
      <c r="C71" s="72">
        <v>1E-3</v>
      </c>
      <c r="D71" s="69"/>
      <c r="E71" s="69"/>
    </row>
    <row r="72" spans="2:5">
      <c r="B72" s="68" t="s">
        <v>414</v>
      </c>
      <c r="C72" s="72">
        <v>0</v>
      </c>
      <c r="D72" s="69"/>
      <c r="E72" s="69"/>
    </row>
    <row r="73" spans="2:5">
      <c r="B73" s="68" t="s">
        <v>415</v>
      </c>
      <c r="C73" s="72">
        <v>-2E-3</v>
      </c>
      <c r="D73" s="69"/>
      <c r="E73" s="69"/>
    </row>
    <row r="74" spans="2:5">
      <c r="B74" s="68" t="s">
        <v>416</v>
      </c>
      <c r="C74" s="72">
        <v>0</v>
      </c>
      <c r="D74" s="69"/>
      <c r="E74" s="69"/>
    </row>
    <row r="75" spans="2:5">
      <c r="B75" s="68" t="s">
        <v>417</v>
      </c>
      <c r="C75" s="72">
        <v>4.0000000000000001E-3</v>
      </c>
      <c r="D75" s="69"/>
      <c r="E75" s="69"/>
    </row>
    <row r="76" spans="2:5">
      <c r="B76" s="68" t="s">
        <v>418</v>
      </c>
      <c r="C76" s="72">
        <v>-3.0000000000000001E-3</v>
      </c>
      <c r="D76" s="69"/>
      <c r="E76" s="69"/>
    </row>
    <row r="77" spans="2:5">
      <c r="B77" s="68" t="s">
        <v>419</v>
      </c>
      <c r="C77" s="72">
        <v>0</v>
      </c>
      <c r="D77" s="69"/>
      <c r="E77" s="69"/>
    </row>
    <row r="78" spans="2:5">
      <c r="B78" s="68" t="s">
        <v>420</v>
      </c>
      <c r="C78" s="72">
        <v>2E-3</v>
      </c>
      <c r="D78" s="69"/>
      <c r="E78" s="69"/>
    </row>
    <row r="79" spans="2:5">
      <c r="B79" s="68" t="s">
        <v>421</v>
      </c>
      <c r="C79" s="72">
        <v>-2E-3</v>
      </c>
      <c r="D79" s="69"/>
      <c r="E79" s="69"/>
    </row>
    <row r="80" spans="2:5">
      <c r="B80" s="68" t="s">
        <v>422</v>
      </c>
      <c r="C80" s="72">
        <v>1E-3</v>
      </c>
      <c r="D80" s="69"/>
      <c r="E80" s="69"/>
    </row>
    <row r="81" spans="2:5">
      <c r="B81" s="68" t="s">
        <v>423</v>
      </c>
      <c r="C81" s="72">
        <v>4.0000000000000001E-3</v>
      </c>
      <c r="D81" s="69"/>
      <c r="E81" s="69"/>
    </row>
    <row r="82" spans="2:5">
      <c r="B82" s="68" t="s">
        <v>424</v>
      </c>
      <c r="C82" s="72">
        <v>0</v>
      </c>
      <c r="D82" s="69"/>
      <c r="E82" s="69"/>
    </row>
    <row r="83" spans="2:5">
      <c r="B83" s="68" t="s">
        <v>425</v>
      </c>
      <c r="C83" s="72">
        <v>0</v>
      </c>
      <c r="D83" s="69"/>
      <c r="E83" s="69"/>
    </row>
    <row r="84" spans="2:5">
      <c r="B84" s="68" t="s">
        <v>426</v>
      </c>
      <c r="C84" s="72">
        <v>3.0000000000000001E-3</v>
      </c>
      <c r="D84" s="69"/>
      <c r="E84" s="69"/>
    </row>
    <row r="85" spans="2:5">
      <c r="B85" s="68" t="s">
        <v>427</v>
      </c>
      <c r="C85" s="72">
        <v>6.0000000000000001E-3</v>
      </c>
      <c r="D85" s="69"/>
      <c r="E85" s="69"/>
    </row>
    <row r="86" spans="2:5">
      <c r="B86" s="68" t="s">
        <v>428</v>
      </c>
      <c r="C86" s="72">
        <v>2E-3</v>
      </c>
      <c r="D86" s="69"/>
      <c r="E86" s="69"/>
    </row>
    <row r="87" spans="2:5">
      <c r="B87" s="68" t="s">
        <v>429</v>
      </c>
      <c r="C87" s="72">
        <v>5.0000000000000001E-3</v>
      </c>
      <c r="D87" s="69"/>
      <c r="E87" s="69"/>
    </row>
    <row r="88" spans="2:5">
      <c r="B88" s="68" t="s">
        <v>430</v>
      </c>
      <c r="C88" s="72">
        <v>-8.0000000000000002E-3</v>
      </c>
      <c r="D88" s="69"/>
      <c r="E88" s="69"/>
    </row>
  </sheetData>
  <mergeCells count="1">
    <mergeCell ref="B2:D2"/>
  </mergeCells>
  <hyperlinks>
    <hyperlink ref="A1" location="Main!A1" display="Main" xr:uid="{857A8372-C1CB-FD4C-AD9D-903041A61B2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7ACF-A86D-134D-8425-AEAFC82A2E1F}">
  <dimension ref="A1:C261"/>
  <sheetViews>
    <sheetView workbookViewId="0">
      <selection activeCell="I48" sqref="I48"/>
    </sheetView>
  </sheetViews>
  <sheetFormatPr baseColWidth="10" defaultRowHeight="13"/>
  <cols>
    <col min="2" max="2" width="27.6640625" customWidth="1"/>
    <col min="3" max="3" width="17.6640625" customWidth="1"/>
  </cols>
  <sheetData>
    <row r="1" spans="1:3">
      <c r="A1" s="32" t="s">
        <v>114</v>
      </c>
    </row>
    <row r="2" spans="1:3">
      <c r="B2" s="95" t="s">
        <v>458</v>
      </c>
      <c r="C2" s="96"/>
    </row>
    <row r="3" spans="1:3" ht="15">
      <c r="B3" s="79" t="s">
        <v>459</v>
      </c>
      <c r="C3" s="79" t="s">
        <v>460</v>
      </c>
    </row>
    <row r="4" spans="1:3">
      <c r="B4" t="s">
        <v>461</v>
      </c>
      <c r="C4" s="17">
        <v>3.75</v>
      </c>
    </row>
    <row r="5" spans="1:3">
      <c r="B5" t="s">
        <v>462</v>
      </c>
      <c r="C5" s="17">
        <v>4</v>
      </c>
    </row>
    <row r="6" spans="1:3">
      <c r="B6" t="s">
        <v>463</v>
      </c>
      <c r="C6" s="17">
        <v>4.25</v>
      </c>
    </row>
    <row r="7" spans="1:3">
      <c r="B7" t="s">
        <v>464</v>
      </c>
      <c r="C7" s="17">
        <v>4.5</v>
      </c>
    </row>
    <row r="8" spans="1:3">
      <c r="B8" t="s">
        <v>465</v>
      </c>
      <c r="C8" s="17">
        <v>4.75</v>
      </c>
    </row>
    <row r="9" spans="1:3">
      <c r="B9" t="s">
        <v>466</v>
      </c>
      <c r="C9" s="17">
        <v>5</v>
      </c>
    </row>
    <row r="10" spans="1:3">
      <c r="B10" t="s">
        <v>467</v>
      </c>
      <c r="C10" s="17">
        <v>5.25</v>
      </c>
    </row>
    <row r="11" spans="1:3">
      <c r="B11" t="s">
        <v>468</v>
      </c>
      <c r="C11" s="17">
        <v>5</v>
      </c>
    </row>
    <row r="12" spans="1:3">
      <c r="B12" t="s">
        <v>469</v>
      </c>
      <c r="C12" s="17">
        <v>4.5</v>
      </c>
    </row>
    <row r="13" spans="1:3">
      <c r="B13" t="s">
        <v>470</v>
      </c>
      <c r="C13" s="17">
        <v>4.25</v>
      </c>
    </row>
    <row r="14" spans="1:3">
      <c r="B14" t="s">
        <v>471</v>
      </c>
      <c r="C14" s="17">
        <v>4</v>
      </c>
    </row>
    <row r="15" spans="1:3">
      <c r="B15" t="s">
        <v>472</v>
      </c>
      <c r="C15" s="17">
        <v>3.5</v>
      </c>
    </row>
    <row r="16" spans="1:3">
      <c r="B16" t="s">
        <v>473</v>
      </c>
      <c r="C16" s="17">
        <v>3</v>
      </c>
    </row>
    <row r="17" spans="2:3">
      <c r="B17" t="s">
        <v>474</v>
      </c>
      <c r="C17" s="17">
        <v>2.25</v>
      </c>
    </row>
    <row r="18" spans="2:3">
      <c r="B18" t="s">
        <v>475</v>
      </c>
      <c r="C18" s="17">
        <v>1.75</v>
      </c>
    </row>
    <row r="19" spans="2:3">
      <c r="B19" t="s">
        <v>476</v>
      </c>
      <c r="C19" s="17">
        <v>1.25</v>
      </c>
    </row>
    <row r="20" spans="2:3">
      <c r="B20" t="s">
        <v>477</v>
      </c>
      <c r="C20" s="17">
        <v>1</v>
      </c>
    </row>
    <row r="21" spans="2:3">
      <c r="B21" t="s">
        <v>478</v>
      </c>
      <c r="C21" s="17">
        <v>0.75</v>
      </c>
    </row>
    <row r="22" spans="2:3">
      <c r="B22" t="s">
        <v>479</v>
      </c>
      <c r="C22" s="17">
        <v>0.5</v>
      </c>
    </row>
    <row r="23" spans="2:3">
      <c r="B23" t="s">
        <v>480</v>
      </c>
      <c r="C23" s="17">
        <v>0.25</v>
      </c>
    </row>
    <row r="24" spans="2:3">
      <c r="B24" t="s">
        <v>481</v>
      </c>
      <c r="C24" s="17">
        <v>0.1</v>
      </c>
    </row>
    <row r="25" spans="2:3">
      <c r="B25" t="s">
        <v>482</v>
      </c>
      <c r="C25" s="17">
        <v>0.25</v>
      </c>
    </row>
    <row r="26" spans="2:3">
      <c r="B26" t="s">
        <v>483</v>
      </c>
      <c r="C26" s="17">
        <v>0.75</v>
      </c>
    </row>
    <row r="27" spans="2:3">
      <c r="B27" t="s">
        <v>484</v>
      </c>
      <c r="C27" s="17">
        <v>0.5</v>
      </c>
    </row>
    <row r="28" spans="2:3">
      <c r="B28" t="s">
        <v>485</v>
      </c>
      <c r="C28" s="17">
        <v>0.25</v>
      </c>
    </row>
    <row r="29" spans="2:3">
      <c r="B29" t="s">
        <v>486</v>
      </c>
      <c r="C29" s="17">
        <v>0.5</v>
      </c>
    </row>
    <row r="30" spans="2:3">
      <c r="B30" t="s">
        <v>487</v>
      </c>
      <c r="C30" s="17">
        <v>1</v>
      </c>
    </row>
    <row r="31" spans="2:3">
      <c r="B31" t="s">
        <v>488</v>
      </c>
      <c r="C31" s="17">
        <v>1.5</v>
      </c>
    </row>
    <row r="32" spans="2:3">
      <c r="B32" t="s">
        <v>489</v>
      </c>
      <c r="C32" s="17">
        <v>2</v>
      </c>
    </row>
    <row r="33" spans="2:3">
      <c r="B33" t="s">
        <v>490</v>
      </c>
      <c r="C33" s="17">
        <v>3</v>
      </c>
    </row>
    <row r="34" spans="2:3">
      <c r="B34" t="s">
        <v>491</v>
      </c>
      <c r="C34" s="17">
        <v>4.5</v>
      </c>
    </row>
    <row r="35" spans="2:3">
      <c r="B35" t="s">
        <v>492</v>
      </c>
      <c r="C35" s="17">
        <v>5</v>
      </c>
    </row>
    <row r="36" spans="2:3">
      <c r="B36" t="s">
        <v>493</v>
      </c>
      <c r="C36" s="17">
        <v>5.25</v>
      </c>
    </row>
    <row r="37" spans="2:3">
      <c r="B37" t="s">
        <v>494</v>
      </c>
      <c r="C37" s="17">
        <v>5.5</v>
      </c>
    </row>
    <row r="38" spans="2:3">
      <c r="B38" t="s">
        <v>495</v>
      </c>
      <c r="C38" s="17">
        <v>5.75</v>
      </c>
    </row>
    <row r="39" spans="2:3">
      <c r="B39" t="s">
        <v>496</v>
      </c>
      <c r="C39" s="17">
        <v>5.5</v>
      </c>
    </row>
    <row r="40" spans="2:3">
      <c r="B40" t="s">
        <v>497</v>
      </c>
      <c r="C40" s="17">
        <v>5.25</v>
      </c>
    </row>
    <row r="41" spans="2:3">
      <c r="B41" t="s">
        <v>498</v>
      </c>
      <c r="C41" s="17">
        <v>5</v>
      </c>
    </row>
    <row r="42" spans="2:3">
      <c r="B42" t="s">
        <v>499</v>
      </c>
      <c r="C42" s="17">
        <v>4.75</v>
      </c>
    </row>
    <row r="43" spans="2:3">
      <c r="B43" t="s">
        <v>500</v>
      </c>
      <c r="C43" s="17">
        <v>4.5</v>
      </c>
    </row>
    <row r="44" spans="2:3">
      <c r="B44" t="s">
        <v>501</v>
      </c>
      <c r="C44" s="17">
        <v>4.75</v>
      </c>
    </row>
    <row r="45" spans="2:3">
      <c r="B45" t="s">
        <v>502</v>
      </c>
      <c r="C45" s="17">
        <v>4.5</v>
      </c>
    </row>
    <row r="46" spans="2:3">
      <c r="B46" t="s">
        <v>503</v>
      </c>
      <c r="C46" s="17">
        <v>4.25</v>
      </c>
    </row>
    <row r="47" spans="2:3">
      <c r="B47" t="s">
        <v>504</v>
      </c>
      <c r="C47" s="17">
        <v>4</v>
      </c>
    </row>
    <row r="48" spans="2:3">
      <c r="B48" t="s">
        <v>505</v>
      </c>
      <c r="C48" s="17">
        <v>3.75</v>
      </c>
    </row>
    <row r="49" spans="2:3">
      <c r="B49" t="s">
        <v>506</v>
      </c>
      <c r="C49" s="17">
        <v>3.5</v>
      </c>
    </row>
    <row r="50" spans="2:3">
      <c r="B50" t="s">
        <v>507</v>
      </c>
      <c r="C50" s="17">
        <v>3.75</v>
      </c>
    </row>
    <row r="51" spans="2:3">
      <c r="B51" t="s">
        <v>508</v>
      </c>
      <c r="C51" s="17">
        <v>4</v>
      </c>
    </row>
    <row r="52" spans="2:3">
      <c r="B52" t="s">
        <v>509</v>
      </c>
      <c r="C52" s="17">
        <v>4.5</v>
      </c>
    </row>
    <row r="53" spans="2:3">
      <c r="B53" t="s">
        <v>510</v>
      </c>
      <c r="C53" s="17">
        <v>4.75</v>
      </c>
    </row>
    <row r="54" spans="2:3">
      <c r="B54" t="s">
        <v>511</v>
      </c>
      <c r="C54" s="17">
        <v>5</v>
      </c>
    </row>
    <row r="55" spans="2:3">
      <c r="B55" t="s">
        <v>512</v>
      </c>
      <c r="C55" s="17">
        <v>5.25</v>
      </c>
    </row>
    <row r="56" spans="2:3">
      <c r="B56" t="s">
        <v>513</v>
      </c>
      <c r="C56" s="17">
        <v>5.5</v>
      </c>
    </row>
    <row r="57" spans="2:3">
      <c r="B57" t="s">
        <v>514</v>
      </c>
      <c r="C57" s="17">
        <v>5.75</v>
      </c>
    </row>
    <row r="58" spans="2:3">
      <c r="B58" t="s">
        <v>515</v>
      </c>
      <c r="C58" s="17">
        <v>6</v>
      </c>
    </row>
    <row r="59" spans="2:3">
      <c r="B59" t="s">
        <v>516</v>
      </c>
      <c r="C59" s="17">
        <v>5.75</v>
      </c>
    </row>
    <row r="60" spans="2:3">
      <c r="B60" t="s">
        <v>517</v>
      </c>
      <c r="C60" s="17">
        <v>5.5</v>
      </c>
    </row>
    <row r="61" spans="2:3">
      <c r="B61" t="s">
        <v>518</v>
      </c>
      <c r="C61" s="17">
        <v>5.25</v>
      </c>
    </row>
    <row r="62" spans="2:3">
      <c r="B62" t="s">
        <v>519</v>
      </c>
      <c r="C62" s="17">
        <v>5</v>
      </c>
    </row>
    <row r="63" spans="2:3">
      <c r="B63" t="s">
        <v>520</v>
      </c>
      <c r="C63" s="17">
        <v>5.25</v>
      </c>
    </row>
    <row r="64" spans="2:3">
      <c r="B64" t="s">
        <v>521</v>
      </c>
      <c r="C64" s="17">
        <v>5.5</v>
      </c>
    </row>
    <row r="65" spans="2:3">
      <c r="B65" t="s">
        <v>522</v>
      </c>
      <c r="C65" s="17">
        <v>6</v>
      </c>
    </row>
    <row r="66" spans="2:3">
      <c r="B66" t="s">
        <v>523</v>
      </c>
      <c r="C66" s="17">
        <v>6.25</v>
      </c>
    </row>
    <row r="67" spans="2:3">
      <c r="B67" t="s">
        <v>524</v>
      </c>
      <c r="C67" s="17">
        <v>6.75</v>
      </c>
    </row>
    <row r="68" spans="2:3">
      <c r="B68" t="s">
        <v>525</v>
      </c>
      <c r="C68" s="17">
        <v>7.25</v>
      </c>
    </row>
    <row r="69" spans="2:3">
      <c r="B69" t="s">
        <v>526</v>
      </c>
      <c r="C69" s="17">
        <v>7.5</v>
      </c>
    </row>
    <row r="70" spans="2:3">
      <c r="B70" t="s">
        <v>527</v>
      </c>
      <c r="C70" s="17">
        <v>7.25</v>
      </c>
    </row>
    <row r="71" spans="2:3">
      <c r="B71" t="s">
        <v>528</v>
      </c>
      <c r="C71" s="17">
        <v>7</v>
      </c>
    </row>
    <row r="72" spans="2:3">
      <c r="B72" t="s">
        <v>529</v>
      </c>
      <c r="C72" s="17">
        <v>6.75</v>
      </c>
    </row>
    <row r="73" spans="2:3">
      <c r="B73" t="s">
        <v>530</v>
      </c>
      <c r="C73" s="17">
        <v>6.5</v>
      </c>
    </row>
    <row r="74" spans="2:3">
      <c r="B74" t="s">
        <v>531</v>
      </c>
      <c r="C74" s="17">
        <v>6.25</v>
      </c>
    </row>
    <row r="75" spans="2:3">
      <c r="B75" t="s">
        <v>532</v>
      </c>
      <c r="C75" s="17">
        <v>5.94</v>
      </c>
    </row>
    <row r="76" spans="2:3">
      <c r="B76" t="s">
        <v>533</v>
      </c>
      <c r="C76" s="17">
        <v>5.69</v>
      </c>
    </row>
    <row r="77" spans="2:3">
      <c r="B77" t="s">
        <v>534</v>
      </c>
      <c r="C77" s="17">
        <v>5.94</v>
      </c>
    </row>
    <row r="78" spans="2:3">
      <c r="B78" t="s">
        <v>535</v>
      </c>
      <c r="C78" s="17">
        <v>6.13</v>
      </c>
    </row>
    <row r="79" spans="2:3">
      <c r="B79" t="s">
        <v>536</v>
      </c>
      <c r="C79" s="17">
        <v>6.38</v>
      </c>
    </row>
    <row r="80" spans="2:3">
      <c r="B80" t="s">
        <v>537</v>
      </c>
      <c r="C80" s="17">
        <v>6.63</v>
      </c>
    </row>
    <row r="81" spans="2:3">
      <c r="B81" t="s">
        <v>538</v>
      </c>
      <c r="C81" s="17">
        <v>6.13</v>
      </c>
    </row>
    <row r="82" spans="2:3">
      <c r="B82" t="s">
        <v>539</v>
      </c>
      <c r="C82" s="17">
        <v>5.63</v>
      </c>
    </row>
    <row r="83" spans="2:3">
      <c r="B83" t="s">
        <v>540</v>
      </c>
      <c r="C83" s="17">
        <v>5.13</v>
      </c>
    </row>
    <row r="84" spans="2:3">
      <c r="B84" t="s">
        <v>541</v>
      </c>
      <c r="C84" s="17">
        <v>5.38</v>
      </c>
    </row>
    <row r="85" spans="2:3">
      <c r="B85" t="s">
        <v>542</v>
      </c>
      <c r="C85" s="17">
        <v>5.88</v>
      </c>
    </row>
    <row r="86" spans="2:3">
      <c r="B86" t="s">
        <v>543</v>
      </c>
      <c r="C86" s="17">
        <v>6.88</v>
      </c>
    </row>
    <row r="87" spans="2:3">
      <c r="B87" t="s">
        <v>544</v>
      </c>
      <c r="C87" s="17">
        <v>7.88</v>
      </c>
    </row>
    <row r="88" spans="2:3">
      <c r="B88" t="s">
        <v>545</v>
      </c>
      <c r="C88" s="17">
        <v>8.8800000000000008</v>
      </c>
    </row>
    <row r="89" spans="2:3">
      <c r="B89" t="s">
        <v>546</v>
      </c>
      <c r="C89" s="17">
        <v>9.8800000000000008</v>
      </c>
    </row>
    <row r="90" spans="2:3">
      <c r="B90" t="s">
        <v>547</v>
      </c>
      <c r="C90" s="17">
        <v>10.38</v>
      </c>
    </row>
    <row r="91" spans="2:3">
      <c r="B91" t="s">
        <v>548</v>
      </c>
      <c r="C91" s="17">
        <v>10.88</v>
      </c>
    </row>
    <row r="92" spans="2:3">
      <c r="B92" t="s">
        <v>549</v>
      </c>
      <c r="C92" s="17">
        <v>11.38</v>
      </c>
    </row>
    <row r="93" spans="2:3">
      <c r="B93" t="s">
        <v>550</v>
      </c>
      <c r="C93" s="17">
        <v>11.88</v>
      </c>
    </row>
    <row r="94" spans="2:3">
      <c r="B94" t="s">
        <v>551</v>
      </c>
      <c r="C94" s="17">
        <v>12.38</v>
      </c>
    </row>
    <row r="95" spans="2:3">
      <c r="B95" t="s">
        <v>552</v>
      </c>
      <c r="C95" s="17">
        <v>12.88</v>
      </c>
    </row>
    <row r="96" spans="2:3">
      <c r="B96" t="s">
        <v>553</v>
      </c>
      <c r="C96" s="17">
        <v>13.38</v>
      </c>
    </row>
    <row r="97" spans="2:3">
      <c r="B97" t="s">
        <v>554</v>
      </c>
      <c r="C97" s="17">
        <v>13.88</v>
      </c>
    </row>
    <row r="98" spans="2:3">
      <c r="B98" t="s">
        <v>555</v>
      </c>
      <c r="C98" s="17">
        <v>14.88</v>
      </c>
    </row>
    <row r="99" spans="2:3">
      <c r="B99" t="s">
        <v>556</v>
      </c>
      <c r="C99" s="17">
        <v>13.75</v>
      </c>
    </row>
    <row r="100" spans="2:3">
      <c r="B100" t="s">
        <v>557</v>
      </c>
      <c r="C100" s="17">
        <v>13.88</v>
      </c>
    </row>
    <row r="101" spans="2:3">
      <c r="B101" t="s">
        <v>558</v>
      </c>
      <c r="C101" s="17">
        <v>13.84</v>
      </c>
    </row>
    <row r="102" spans="2:3">
      <c r="B102" t="s">
        <v>559</v>
      </c>
      <c r="C102" s="17">
        <v>13.75</v>
      </c>
    </row>
    <row r="103" spans="2:3">
      <c r="B103" t="s">
        <v>560</v>
      </c>
      <c r="C103" s="17">
        <v>12.88</v>
      </c>
    </row>
    <row r="104" spans="2:3">
      <c r="B104" t="s">
        <v>561</v>
      </c>
      <c r="C104" s="17">
        <v>11.88</v>
      </c>
    </row>
    <row r="105" spans="2:3">
      <c r="B105" t="s">
        <v>562</v>
      </c>
      <c r="C105" s="17">
        <v>10.88</v>
      </c>
    </row>
    <row r="106" spans="2:3">
      <c r="B106" t="s">
        <v>563</v>
      </c>
      <c r="C106" s="17">
        <v>10.38</v>
      </c>
    </row>
    <row r="107" spans="2:3">
      <c r="B107" t="s">
        <v>564</v>
      </c>
      <c r="C107" s="17">
        <v>9.8800000000000008</v>
      </c>
    </row>
    <row r="108" spans="2:3">
      <c r="B108" t="s">
        <v>565</v>
      </c>
      <c r="C108" s="17">
        <v>8.8800000000000008</v>
      </c>
    </row>
    <row r="109" spans="2:3">
      <c r="B109" t="s">
        <v>566</v>
      </c>
      <c r="C109" s="17">
        <v>8.3800000000000008</v>
      </c>
    </row>
    <row r="110" spans="2:3">
      <c r="B110" t="s">
        <v>567</v>
      </c>
      <c r="C110" s="17">
        <v>7.88</v>
      </c>
    </row>
    <row r="111" spans="2:3">
      <c r="B111" t="s">
        <v>568</v>
      </c>
      <c r="C111" s="17">
        <v>7.38</v>
      </c>
    </row>
    <row r="112" spans="2:3">
      <c r="B112" t="s">
        <v>569</v>
      </c>
      <c r="C112" s="17">
        <v>7.88</v>
      </c>
    </row>
    <row r="113" spans="2:3">
      <c r="B113" t="s">
        <v>570</v>
      </c>
      <c r="C113" s="17">
        <v>8.3800000000000008</v>
      </c>
    </row>
    <row r="114" spans="2:3">
      <c r="B114" t="s">
        <v>571</v>
      </c>
      <c r="C114" s="17">
        <v>8.8800000000000008</v>
      </c>
    </row>
    <row r="115" spans="2:3">
      <c r="B115" t="s">
        <v>572</v>
      </c>
      <c r="C115" s="17">
        <v>8.3800000000000008</v>
      </c>
    </row>
    <row r="116" spans="2:3">
      <c r="B116" t="s">
        <v>573</v>
      </c>
      <c r="C116" s="17">
        <v>8.8800000000000008</v>
      </c>
    </row>
    <row r="117" spans="2:3">
      <c r="B117" t="s">
        <v>574</v>
      </c>
      <c r="C117" s="17">
        <v>9.3800000000000008</v>
      </c>
    </row>
    <row r="118" spans="2:3">
      <c r="B118" t="s">
        <v>575</v>
      </c>
      <c r="C118" s="17">
        <v>9.8800000000000008</v>
      </c>
    </row>
    <row r="119" spans="2:3">
      <c r="B119" t="s">
        <v>576</v>
      </c>
      <c r="C119" s="17">
        <v>8.8800000000000008</v>
      </c>
    </row>
    <row r="120" spans="2:3">
      <c r="B120" t="s">
        <v>577</v>
      </c>
      <c r="C120" s="17">
        <v>9.3800000000000008</v>
      </c>
    </row>
    <row r="121" spans="2:3">
      <c r="B121" t="s">
        <v>578</v>
      </c>
      <c r="C121" s="17">
        <v>9.8800000000000008</v>
      </c>
    </row>
    <row r="122" spans="2:3">
      <c r="B122" t="s">
        <v>579</v>
      </c>
      <c r="C122" s="17">
        <v>10.38</v>
      </c>
    </row>
    <row r="123" spans="2:3">
      <c r="B123" t="s">
        <v>580</v>
      </c>
      <c r="C123" s="17">
        <v>10.88</v>
      </c>
    </row>
    <row r="124" spans="2:3">
      <c r="B124" t="s">
        <v>581</v>
      </c>
      <c r="C124" s="17">
        <v>9.8800000000000008</v>
      </c>
    </row>
    <row r="125" spans="2:3">
      <c r="B125" t="s">
        <v>582</v>
      </c>
      <c r="C125" s="17">
        <v>10.38</v>
      </c>
    </row>
    <row r="126" spans="2:3">
      <c r="B126" t="s">
        <v>583</v>
      </c>
      <c r="C126" s="17">
        <v>10.88</v>
      </c>
    </row>
    <row r="127" spans="2:3">
      <c r="B127" t="s">
        <v>584</v>
      </c>
      <c r="C127" s="17">
        <v>11.38</v>
      </c>
    </row>
    <row r="128" spans="2:3">
      <c r="B128" t="s">
        <v>585</v>
      </c>
      <c r="C128" s="17">
        <v>12.38</v>
      </c>
    </row>
    <row r="129" spans="2:3">
      <c r="B129" t="s">
        <v>586</v>
      </c>
      <c r="C129" s="17">
        <v>11.38</v>
      </c>
    </row>
    <row r="130" spans="2:3">
      <c r="B130" t="s">
        <v>587</v>
      </c>
      <c r="C130" s="17">
        <v>11.88</v>
      </c>
    </row>
    <row r="131" spans="2:3">
      <c r="B131" t="s">
        <v>588</v>
      </c>
      <c r="C131" s="17">
        <v>12.38</v>
      </c>
    </row>
    <row r="132" spans="2:3">
      <c r="B132" t="s">
        <v>589</v>
      </c>
      <c r="C132" s="17">
        <v>12.88</v>
      </c>
    </row>
    <row r="133" spans="2:3">
      <c r="B133" t="s">
        <v>590</v>
      </c>
      <c r="C133" s="17">
        <v>13.38</v>
      </c>
    </row>
    <row r="134" spans="2:3">
      <c r="B134" t="s">
        <v>591</v>
      </c>
      <c r="C134" s="17">
        <v>13.88</v>
      </c>
    </row>
    <row r="135" spans="2:3">
      <c r="B135" t="s">
        <v>592</v>
      </c>
      <c r="C135" s="17">
        <v>11.88</v>
      </c>
    </row>
    <row r="136" spans="2:3">
      <c r="B136" t="s">
        <v>593</v>
      </c>
      <c r="C136" s="17">
        <v>9.5</v>
      </c>
    </row>
    <row r="137" spans="2:3">
      <c r="B137" t="s">
        <v>594</v>
      </c>
      <c r="C137" s="17">
        <v>9.75</v>
      </c>
    </row>
    <row r="138" spans="2:3">
      <c r="B138" t="s">
        <v>595</v>
      </c>
      <c r="C138" s="17">
        <v>10</v>
      </c>
    </row>
    <row r="139" spans="2:3">
      <c r="B139" t="s">
        <v>596</v>
      </c>
      <c r="C139" s="17">
        <v>10.5</v>
      </c>
    </row>
    <row r="140" spans="2:3">
      <c r="B140" t="s">
        <v>597</v>
      </c>
      <c r="C140" s="17">
        <v>10.75</v>
      </c>
    </row>
    <row r="141" spans="2:3">
      <c r="B141" t="s">
        <v>598</v>
      </c>
      <c r="C141" s="17">
        <v>11</v>
      </c>
    </row>
    <row r="142" spans="2:3">
      <c r="B142" t="s">
        <v>599</v>
      </c>
      <c r="C142" s="17">
        <v>11.5</v>
      </c>
    </row>
    <row r="143" spans="2:3">
      <c r="B143" t="s">
        <v>600</v>
      </c>
      <c r="C143" s="17">
        <v>12</v>
      </c>
    </row>
    <row r="144" spans="2:3">
      <c r="B144" t="s">
        <v>601</v>
      </c>
      <c r="C144" s="17">
        <v>10</v>
      </c>
    </row>
    <row r="145" spans="2:3">
      <c r="B145" t="s">
        <v>602</v>
      </c>
      <c r="C145" s="17">
        <v>8.8800000000000008</v>
      </c>
    </row>
    <row r="146" spans="2:3">
      <c r="B146" t="s">
        <v>603</v>
      </c>
      <c r="C146" s="17">
        <v>9.06</v>
      </c>
    </row>
    <row r="147" spans="2:3">
      <c r="B147" t="s">
        <v>604</v>
      </c>
      <c r="C147" s="17">
        <v>8.56</v>
      </c>
    </row>
    <row r="148" spans="2:3">
      <c r="B148" t="s">
        <v>605</v>
      </c>
      <c r="C148" s="17">
        <v>8.81</v>
      </c>
    </row>
    <row r="149" spans="2:3">
      <c r="B149" t="s">
        <v>606</v>
      </c>
      <c r="C149" s="17">
        <v>9.06</v>
      </c>
    </row>
    <row r="150" spans="2:3">
      <c r="B150" t="s">
        <v>607</v>
      </c>
      <c r="C150" s="17">
        <v>9.56</v>
      </c>
    </row>
    <row r="151" spans="2:3">
      <c r="B151" t="s">
        <v>608</v>
      </c>
      <c r="C151" s="17">
        <v>9.44</v>
      </c>
    </row>
    <row r="152" spans="2:3">
      <c r="B152" t="s">
        <v>609</v>
      </c>
      <c r="C152" s="17">
        <v>9.56</v>
      </c>
    </row>
    <row r="153" spans="2:3">
      <c r="B153" t="s">
        <v>610</v>
      </c>
      <c r="C153" s="17">
        <v>9.81</v>
      </c>
    </row>
    <row r="154" spans="2:3">
      <c r="B154" t="s">
        <v>611</v>
      </c>
      <c r="C154" s="17">
        <v>10.06</v>
      </c>
    </row>
    <row r="155" spans="2:3">
      <c r="B155" t="s">
        <v>612</v>
      </c>
      <c r="C155" s="17">
        <v>10.31</v>
      </c>
    </row>
    <row r="156" spans="2:3">
      <c r="B156" t="s">
        <v>613</v>
      </c>
      <c r="C156" s="17">
        <v>10.56</v>
      </c>
    </row>
    <row r="157" spans="2:3">
      <c r="B157" t="s">
        <v>614</v>
      </c>
      <c r="C157" s="17">
        <v>11</v>
      </c>
    </row>
    <row r="158" spans="2:3">
      <c r="B158" t="s">
        <v>615</v>
      </c>
      <c r="C158" s="17">
        <v>10</v>
      </c>
    </row>
    <row r="159" spans="2:3">
      <c r="B159" t="s">
        <v>616</v>
      </c>
      <c r="C159" s="17">
        <v>9.1300000000000008</v>
      </c>
    </row>
    <row r="160" spans="2:3">
      <c r="B160" t="s">
        <v>617</v>
      </c>
      <c r="C160" s="17">
        <v>9.3800000000000008</v>
      </c>
    </row>
    <row r="161" spans="2:3">
      <c r="B161" t="s">
        <v>618</v>
      </c>
      <c r="C161" s="17">
        <v>9.6300000000000008</v>
      </c>
    </row>
    <row r="162" spans="2:3">
      <c r="B162" t="s">
        <v>619</v>
      </c>
      <c r="C162" s="17">
        <v>10.130000000000001</v>
      </c>
    </row>
    <row r="163" spans="2:3">
      <c r="B163" t="s">
        <v>620</v>
      </c>
      <c r="C163" s="17">
        <v>10.25</v>
      </c>
    </row>
    <row r="164" spans="2:3">
      <c r="B164" t="s">
        <v>621</v>
      </c>
      <c r="C164" s="17">
        <v>10.38</v>
      </c>
    </row>
    <row r="165" spans="2:3">
      <c r="B165" t="s">
        <v>622</v>
      </c>
      <c r="C165" s="17">
        <v>10.5</v>
      </c>
    </row>
    <row r="166" spans="2:3">
      <c r="B166" t="s">
        <v>623</v>
      </c>
      <c r="C166" s="17">
        <v>10.63</v>
      </c>
    </row>
    <row r="167" spans="2:3">
      <c r="B167" t="s">
        <v>624</v>
      </c>
      <c r="C167" s="17">
        <v>10.88</v>
      </c>
    </row>
    <row r="168" spans="2:3">
      <c r="B168" t="s">
        <v>625</v>
      </c>
      <c r="C168" s="17">
        <v>11</v>
      </c>
    </row>
    <row r="169" spans="2:3">
      <c r="B169" t="s">
        <v>626</v>
      </c>
      <c r="C169" s="17">
        <v>11.13</v>
      </c>
    </row>
    <row r="170" spans="2:3">
      <c r="B170" t="s">
        <v>627</v>
      </c>
      <c r="C170" s="17">
        <v>11.25</v>
      </c>
    </row>
    <row r="171" spans="2:3">
      <c r="B171" t="s">
        <v>628</v>
      </c>
      <c r="C171" s="17">
        <v>11.38</v>
      </c>
    </row>
    <row r="172" spans="2:3">
      <c r="B172" t="s">
        <v>629</v>
      </c>
      <c r="C172" s="17">
        <v>11.5</v>
      </c>
    </row>
    <row r="173" spans="2:3">
      <c r="B173" t="s">
        <v>630</v>
      </c>
      <c r="C173" s="17">
        <v>11.56</v>
      </c>
    </row>
    <row r="174" spans="2:3">
      <c r="B174" t="s">
        <v>631</v>
      </c>
      <c r="C174" s="17">
        <v>11.63</v>
      </c>
    </row>
    <row r="175" spans="2:3">
      <c r="B175" t="s">
        <v>632</v>
      </c>
      <c r="C175" s="17">
        <v>11.75</v>
      </c>
    </row>
    <row r="176" spans="2:3">
      <c r="B176" t="s">
        <v>633</v>
      </c>
      <c r="C176" s="17">
        <v>11.81</v>
      </c>
    </row>
    <row r="177" spans="2:3">
      <c r="B177" t="s">
        <v>634</v>
      </c>
      <c r="C177" s="17">
        <v>11.94</v>
      </c>
    </row>
    <row r="178" spans="2:3">
      <c r="B178" t="s">
        <v>635</v>
      </c>
      <c r="C178" s="17">
        <v>12.06</v>
      </c>
    </row>
    <row r="179" spans="2:3">
      <c r="B179" t="s">
        <v>636</v>
      </c>
      <c r="C179" s="17">
        <v>12.13</v>
      </c>
    </row>
    <row r="180" spans="2:3">
      <c r="B180" t="s">
        <v>637</v>
      </c>
      <c r="C180" s="17">
        <v>12.25</v>
      </c>
    </row>
    <row r="181" spans="2:3">
      <c r="B181" t="s">
        <v>638</v>
      </c>
      <c r="C181" s="17">
        <v>12.5</v>
      </c>
    </row>
    <row r="182" spans="2:3">
      <c r="B182" t="s">
        <v>639</v>
      </c>
      <c r="C182" s="17">
        <v>12.63</v>
      </c>
    </row>
    <row r="183" spans="2:3">
      <c r="B183" t="s">
        <v>640</v>
      </c>
      <c r="C183" s="17">
        <v>13.13</v>
      </c>
    </row>
    <row r="184" spans="2:3">
      <c r="B184" t="s">
        <v>641</v>
      </c>
      <c r="C184" s="17">
        <v>13</v>
      </c>
    </row>
    <row r="185" spans="2:3">
      <c r="B185" t="s">
        <v>642</v>
      </c>
      <c r="C185" s="17">
        <v>13.13</v>
      </c>
    </row>
    <row r="186" spans="2:3">
      <c r="B186" t="s">
        <v>643</v>
      </c>
      <c r="C186" s="17">
        <v>13.25</v>
      </c>
    </row>
    <row r="187" spans="2:3">
      <c r="B187" t="s">
        <v>644</v>
      </c>
      <c r="C187" s="17">
        <v>13.63</v>
      </c>
    </row>
    <row r="188" spans="2:3">
      <c r="B188" t="s">
        <v>645</v>
      </c>
      <c r="C188" s="17">
        <v>13.81</v>
      </c>
    </row>
    <row r="189" spans="2:3">
      <c r="B189" t="s">
        <v>646</v>
      </c>
      <c r="C189" s="17">
        <v>13.88</v>
      </c>
    </row>
    <row r="190" spans="2:3">
      <c r="B190" t="s">
        <v>647</v>
      </c>
      <c r="C190" s="17">
        <v>14</v>
      </c>
    </row>
    <row r="191" spans="2:3">
      <c r="B191" t="s">
        <v>648</v>
      </c>
      <c r="C191" s="17">
        <v>14.13</v>
      </c>
    </row>
    <row r="192" spans="2:3">
      <c r="B192" t="s">
        <v>649</v>
      </c>
      <c r="C192" s="17">
        <v>14.25</v>
      </c>
    </row>
    <row r="193" spans="2:3">
      <c r="B193" t="s">
        <v>650</v>
      </c>
      <c r="C193" s="17">
        <v>14.31</v>
      </c>
    </row>
    <row r="194" spans="2:3">
      <c r="B194" t="s">
        <v>651</v>
      </c>
      <c r="C194" s="17">
        <v>14.38</v>
      </c>
    </row>
    <row r="195" spans="2:3">
      <c r="B195" t="s">
        <v>652</v>
      </c>
      <c r="C195" s="17">
        <v>14.56</v>
      </c>
    </row>
    <row r="196" spans="2:3">
      <c r="B196" t="s">
        <v>653</v>
      </c>
      <c r="C196" s="17">
        <v>14.63</v>
      </c>
    </row>
    <row r="197" spans="2:3">
      <c r="B197" t="s">
        <v>654</v>
      </c>
      <c r="C197" s="17">
        <v>15.06</v>
      </c>
    </row>
    <row r="198" spans="2:3">
      <c r="B198" t="s">
        <v>655</v>
      </c>
      <c r="C198" s="17">
        <v>15.13</v>
      </c>
    </row>
    <row r="199" spans="2:3">
      <c r="B199" t="s">
        <v>656</v>
      </c>
      <c r="C199" s="17">
        <v>15</v>
      </c>
    </row>
    <row r="200" spans="2:3">
      <c r="B200" t="s">
        <v>657</v>
      </c>
      <c r="C200" s="17">
        <v>14</v>
      </c>
    </row>
    <row r="201" spans="2:3">
      <c r="B201" t="s">
        <v>658</v>
      </c>
      <c r="C201" s="17">
        <v>12.69</v>
      </c>
    </row>
    <row r="202" spans="2:3">
      <c r="B202" t="s">
        <v>659</v>
      </c>
      <c r="C202" s="17">
        <v>12</v>
      </c>
    </row>
    <row r="203" spans="2:3">
      <c r="B203" t="s">
        <v>660</v>
      </c>
      <c r="C203" s="17">
        <v>14</v>
      </c>
    </row>
    <row r="204" spans="2:3">
      <c r="B204" t="s">
        <v>661</v>
      </c>
      <c r="C204" s="17">
        <v>16</v>
      </c>
    </row>
    <row r="205" spans="2:3">
      <c r="B205" t="s">
        <v>662</v>
      </c>
      <c r="C205" s="17">
        <v>17</v>
      </c>
    </row>
    <row r="206" spans="2:3">
      <c r="B206" t="s">
        <v>663</v>
      </c>
      <c r="C206" s="17">
        <v>14</v>
      </c>
    </row>
    <row r="207" spans="2:3">
      <c r="B207" t="s">
        <v>664</v>
      </c>
      <c r="C207" s="17">
        <v>12</v>
      </c>
    </row>
    <row r="208" spans="2:3">
      <c r="B208" t="s">
        <v>665</v>
      </c>
      <c r="C208" s="17">
        <v>13</v>
      </c>
    </row>
    <row r="209" spans="2:3">
      <c r="B209" t="s">
        <v>666</v>
      </c>
      <c r="C209" s="17">
        <v>14</v>
      </c>
    </row>
    <row r="210" spans="2:3">
      <c r="B210" t="s">
        <v>667</v>
      </c>
      <c r="C210" s="17">
        <v>12.5</v>
      </c>
    </row>
    <row r="211" spans="2:3">
      <c r="B211" t="s">
        <v>668</v>
      </c>
      <c r="C211" s="17">
        <v>10</v>
      </c>
    </row>
    <row r="212" spans="2:3">
      <c r="B212" t="s">
        <v>669</v>
      </c>
      <c r="C212" s="17">
        <v>9</v>
      </c>
    </row>
    <row r="213" spans="2:3">
      <c r="B213" t="s">
        <v>670</v>
      </c>
      <c r="C213" s="17">
        <v>8.75</v>
      </c>
    </row>
    <row r="214" spans="2:3">
      <c r="B214" t="s">
        <v>671</v>
      </c>
      <c r="C214" s="17">
        <v>7.5</v>
      </c>
    </row>
    <row r="215" spans="2:3">
      <c r="B215" t="s">
        <v>672</v>
      </c>
      <c r="C215" s="17">
        <v>6.5</v>
      </c>
    </row>
    <row r="216" spans="2:3">
      <c r="B216" t="s">
        <v>673</v>
      </c>
      <c r="C216" s="17">
        <v>7</v>
      </c>
    </row>
    <row r="217" spans="2:3">
      <c r="B217" t="s">
        <v>674</v>
      </c>
      <c r="C217" s="17">
        <v>5</v>
      </c>
    </row>
    <row r="218" spans="2:3">
      <c r="B218" t="s">
        <v>675</v>
      </c>
      <c r="C218" s="17">
        <v>5.5</v>
      </c>
    </row>
    <row r="219" spans="2:3">
      <c r="B219" t="s">
        <v>676</v>
      </c>
      <c r="C219" s="17">
        <v>6</v>
      </c>
    </row>
    <row r="220" spans="2:3">
      <c r="B220" t="s">
        <v>677</v>
      </c>
      <c r="C220" s="17">
        <v>6.5</v>
      </c>
    </row>
    <row r="221" spans="2:3">
      <c r="B221" t="s">
        <v>678</v>
      </c>
      <c r="C221" s="17">
        <v>7</v>
      </c>
    </row>
    <row r="222" spans="2:3">
      <c r="B222" t="s">
        <v>679</v>
      </c>
      <c r="C222" s="17">
        <v>7.5</v>
      </c>
    </row>
    <row r="223" spans="2:3">
      <c r="B223" t="s">
        <v>680</v>
      </c>
      <c r="C223" s="17">
        <v>8</v>
      </c>
    </row>
    <row r="224" spans="2:3">
      <c r="B224" t="s">
        <v>681</v>
      </c>
      <c r="C224" s="17">
        <v>8.25</v>
      </c>
    </row>
    <row r="225" spans="2:3">
      <c r="B225" t="s">
        <v>682</v>
      </c>
      <c r="C225" s="17">
        <v>8.75</v>
      </c>
    </row>
    <row r="226" spans="2:3">
      <c r="B226" t="s">
        <v>683</v>
      </c>
      <c r="C226" s="17">
        <v>9</v>
      </c>
    </row>
    <row r="227" spans="2:3">
      <c r="B227" t="s">
        <v>684</v>
      </c>
      <c r="C227" s="17">
        <v>9.25</v>
      </c>
    </row>
    <row r="228" spans="2:3">
      <c r="B228" t="s">
        <v>685</v>
      </c>
      <c r="C228" s="17">
        <v>9.5</v>
      </c>
    </row>
    <row r="229" spans="2:3">
      <c r="B229" t="s">
        <v>686</v>
      </c>
      <c r="C229" s="17">
        <v>10.5</v>
      </c>
    </row>
    <row r="230" spans="2:3">
      <c r="B230" t="s">
        <v>687</v>
      </c>
      <c r="C230" s="17">
        <v>11</v>
      </c>
    </row>
    <row r="231" spans="2:3">
      <c r="B231" t="s">
        <v>688</v>
      </c>
      <c r="C231" s="17">
        <v>12</v>
      </c>
    </row>
    <row r="232" spans="2:3">
      <c r="B232" t="s">
        <v>689</v>
      </c>
      <c r="C232" s="17">
        <v>12.25</v>
      </c>
    </row>
    <row r="233" spans="2:3">
      <c r="B233" t="s">
        <v>690</v>
      </c>
      <c r="C233" s="17">
        <v>13.25</v>
      </c>
    </row>
    <row r="234" spans="2:3">
      <c r="B234" t="s">
        <v>691</v>
      </c>
      <c r="C234" s="17">
        <v>14</v>
      </c>
    </row>
    <row r="235" spans="2:3">
      <c r="B235" t="s">
        <v>692</v>
      </c>
      <c r="C235" s="17">
        <v>14.25</v>
      </c>
    </row>
    <row r="236" spans="2:3">
      <c r="B236" t="s">
        <v>693</v>
      </c>
      <c r="C236" s="17">
        <v>14.5</v>
      </c>
    </row>
    <row r="237" spans="2:3">
      <c r="B237" t="s">
        <v>694</v>
      </c>
      <c r="C237" s="17">
        <v>14.75</v>
      </c>
    </row>
    <row r="238" spans="2:3">
      <c r="B238" t="s">
        <v>695</v>
      </c>
      <c r="C238" s="17">
        <v>15</v>
      </c>
    </row>
    <row r="239" spans="2:3">
      <c r="B239" t="s">
        <v>696</v>
      </c>
      <c r="C239" s="17">
        <v>13</v>
      </c>
    </row>
    <row r="240" spans="2:3">
      <c r="B240" t="s">
        <v>697</v>
      </c>
      <c r="C240" s="17">
        <v>11.5</v>
      </c>
    </row>
    <row r="241" spans="2:3">
      <c r="B241" t="s">
        <v>698</v>
      </c>
      <c r="C241" s="17">
        <v>10.5</v>
      </c>
    </row>
    <row r="242" spans="2:3">
      <c r="B242" t="s">
        <v>699</v>
      </c>
      <c r="C242" s="17">
        <v>9</v>
      </c>
    </row>
    <row r="243" spans="2:3">
      <c r="B243" t="s">
        <v>700</v>
      </c>
      <c r="C243" s="17">
        <v>9.25</v>
      </c>
    </row>
    <row r="244" spans="2:3">
      <c r="B244" t="s">
        <v>701</v>
      </c>
      <c r="C244" s="17">
        <v>9.5</v>
      </c>
    </row>
    <row r="245" spans="2:3">
      <c r="B245" t="s">
        <v>702</v>
      </c>
      <c r="C245" s="17">
        <v>10</v>
      </c>
    </row>
    <row r="246" spans="2:3">
      <c r="B246" t="s">
        <v>703</v>
      </c>
      <c r="C246" s="17">
        <v>10.5</v>
      </c>
    </row>
    <row r="247" spans="2:3">
      <c r="B247" t="s">
        <v>704</v>
      </c>
      <c r="C247" s="17">
        <v>10.75</v>
      </c>
    </row>
    <row r="248" spans="2:3">
      <c r="B248" t="s">
        <v>705</v>
      </c>
      <c r="C248" s="17">
        <v>11</v>
      </c>
    </row>
    <row r="249" spans="2:3">
      <c r="B249" t="s">
        <v>706</v>
      </c>
      <c r="C249" s="17">
        <v>11.25</v>
      </c>
    </row>
    <row r="250" spans="2:3">
      <c r="B250" t="s">
        <v>707</v>
      </c>
      <c r="C250" s="17">
        <v>11.5</v>
      </c>
    </row>
    <row r="251" spans="2:3">
      <c r="B251" t="s">
        <v>708</v>
      </c>
      <c r="C251" s="17">
        <v>11.75</v>
      </c>
    </row>
    <row r="252" spans="2:3">
      <c r="B252" t="s">
        <v>709</v>
      </c>
      <c r="C252" s="17">
        <v>12</v>
      </c>
    </row>
    <row r="253" spans="2:3">
      <c r="B253" t="s">
        <v>710</v>
      </c>
      <c r="C253" s="17">
        <v>11</v>
      </c>
    </row>
    <row r="254" spans="2:3">
      <c r="B254" t="s">
        <v>711</v>
      </c>
      <c r="C254" s="17">
        <v>10</v>
      </c>
    </row>
    <row r="255" spans="2:3">
      <c r="B255" t="s">
        <v>712</v>
      </c>
      <c r="C255" s="17">
        <v>9.75</v>
      </c>
    </row>
    <row r="256" spans="2:3">
      <c r="B256" t="s">
        <v>713</v>
      </c>
      <c r="C256" s="17">
        <v>10</v>
      </c>
    </row>
    <row r="257" spans="2:3">
      <c r="B257" t="s">
        <v>714</v>
      </c>
      <c r="C257" s="17">
        <v>10.25</v>
      </c>
    </row>
    <row r="258" spans="2:3">
      <c r="B258" t="s">
        <v>715</v>
      </c>
      <c r="C258" s="17">
        <v>10.5</v>
      </c>
    </row>
    <row r="259" spans="2:3">
      <c r="B259" t="s">
        <v>716</v>
      </c>
      <c r="C259" s="17">
        <v>10.75</v>
      </c>
    </row>
    <row r="260" spans="2:3">
      <c r="B260" t="s">
        <v>717</v>
      </c>
      <c r="C260" s="17">
        <v>11</v>
      </c>
    </row>
    <row r="261" spans="2:3">
      <c r="B261" t="s">
        <v>718</v>
      </c>
      <c r="C261" s="17">
        <v>11.25</v>
      </c>
    </row>
  </sheetData>
  <mergeCells count="1">
    <mergeCell ref="B2:C2"/>
  </mergeCells>
  <hyperlinks>
    <hyperlink ref="A1" location="Main!A1" display="Main" xr:uid="{A54A7532-CFAC-424F-8E4D-704D5D8F6B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Model</vt:lpstr>
      <vt:lpstr>WACC</vt:lpstr>
      <vt:lpstr>Charts</vt:lpstr>
      <vt:lpstr>Regression</vt:lpstr>
      <vt:lpstr>_RNWHabs&amp;InterestRate</vt:lpstr>
      <vt:lpstr>Statistics_RNWH&amp;FTSE100 </vt:lpstr>
      <vt:lpstr>CPI </vt:lpstr>
      <vt:lpstr>Interest 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Dmytro Parkhomenko</dc:creator>
  <cp:keywords/>
  <dc:description/>
  <cp:lastModifiedBy>Dmytro Parkhomenko</cp:lastModifiedBy>
  <dcterms:created xsi:type="dcterms:W3CDTF">2026-01-29T00:03:03Z</dcterms:created>
  <dcterms:modified xsi:type="dcterms:W3CDTF">2026-02-25T10:23:24Z</dcterms:modified>
  <cp:category/>
</cp:coreProperties>
</file>